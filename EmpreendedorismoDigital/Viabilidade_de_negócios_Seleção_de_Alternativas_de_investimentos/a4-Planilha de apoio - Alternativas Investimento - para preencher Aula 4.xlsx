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490" windowHeight="7755" firstSheet="3" activeTab="4"/>
  </bookViews>
  <sheets>
    <sheet name="Fluxo de caixa" sheetId="3" r:id="rId1"/>
    <sheet name="Capital de giro" sheetId="2" r:id="rId2"/>
    <sheet name="VPL e TIR" sheetId="1" r:id="rId3"/>
    <sheet name="Impostos" sheetId="4" r:id="rId4"/>
    <sheet name="Alternativas - P desconhecidas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Q11" i="4"/>
  <c r="P11" i="4"/>
  <c r="I27" i="5" l="1"/>
  <c r="I26" i="5"/>
  <c r="I25" i="5"/>
  <c r="I24" i="5"/>
  <c r="H27" i="5"/>
  <c r="H26" i="5"/>
  <c r="H25" i="5"/>
  <c r="H24" i="5"/>
  <c r="J27" i="5" l="1"/>
  <c r="K27" i="5"/>
  <c r="K26" i="5"/>
  <c r="J26" i="5"/>
  <c r="K25" i="5"/>
  <c r="J25" i="5"/>
  <c r="K24" i="5"/>
  <c r="I29" i="5"/>
  <c r="H28" i="5"/>
  <c r="K15" i="5"/>
  <c r="K14" i="5"/>
  <c r="K13" i="5"/>
  <c r="K12" i="5"/>
  <c r="I15" i="5"/>
  <c r="I14" i="5"/>
  <c r="I13" i="5"/>
  <c r="I12" i="5"/>
  <c r="H15" i="5"/>
  <c r="H14" i="5"/>
  <c r="H13" i="5"/>
  <c r="H12" i="5"/>
  <c r="K31" i="5" l="1"/>
  <c r="J24" i="5"/>
  <c r="J30" i="5" s="1"/>
  <c r="J12" i="5"/>
  <c r="J15" i="5"/>
  <c r="J13" i="5"/>
  <c r="K19" i="5"/>
  <c r="I17" i="5"/>
  <c r="H16" i="5"/>
  <c r="J14" i="5"/>
  <c r="B11" i="4"/>
  <c r="R11" i="4" l="1"/>
  <c r="J18" i="5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31" i="3"/>
  <c r="E343" i="3" s="1"/>
  <c r="D19" i="2" s="1"/>
  <c r="E322" i="3"/>
  <c r="E342" i="3" s="1"/>
  <c r="C19" i="2" s="1"/>
  <c r="D20" i="1" s="1"/>
  <c r="E311" i="3"/>
  <c r="E315" i="3" s="1"/>
  <c r="E18" i="2" s="1"/>
  <c r="E302" i="3"/>
  <c r="E314" i="3" s="1"/>
  <c r="D18" i="2" s="1"/>
  <c r="E293" i="3"/>
  <c r="E313" i="3" s="1"/>
  <c r="E283" i="3"/>
  <c r="E287" i="3" s="1"/>
  <c r="E17" i="2" s="1"/>
  <c r="E274" i="3"/>
  <c r="E286" i="3" s="1"/>
  <c r="D17" i="2" s="1"/>
  <c r="E265" i="3"/>
  <c r="E285" i="3" s="1"/>
  <c r="E255" i="3"/>
  <c r="E259" i="3" s="1"/>
  <c r="E16" i="2" s="1"/>
  <c r="E246" i="3"/>
  <c r="E258" i="3" s="1"/>
  <c r="D16" i="2" s="1"/>
  <c r="E237" i="3"/>
  <c r="E257" i="3" s="1"/>
  <c r="E227" i="3"/>
  <c r="E231" i="3" s="1"/>
  <c r="E15" i="2" s="1"/>
  <c r="E218" i="3"/>
  <c r="E230" i="3" s="1"/>
  <c r="D15" i="2" s="1"/>
  <c r="E209" i="3"/>
  <c r="E229" i="3" s="1"/>
  <c r="E199" i="3"/>
  <c r="E203" i="3" s="1"/>
  <c r="E14" i="2" s="1"/>
  <c r="E190" i="3"/>
  <c r="E202" i="3" s="1"/>
  <c r="D14" i="2" s="1"/>
  <c r="E181" i="3"/>
  <c r="E201" i="3" s="1"/>
  <c r="E170" i="3"/>
  <c r="E174" i="3" s="1"/>
  <c r="E13" i="2" s="1"/>
  <c r="E161" i="3"/>
  <c r="E173" i="3" s="1"/>
  <c r="D13" i="2" s="1"/>
  <c r="E152" i="3"/>
  <c r="E172" i="3" s="1"/>
  <c r="E142" i="3"/>
  <c r="E146" i="3" s="1"/>
  <c r="E12" i="2" s="1"/>
  <c r="E133" i="3"/>
  <c r="E145" i="3" s="1"/>
  <c r="D12" i="2" s="1"/>
  <c r="E124" i="3"/>
  <c r="E144" i="3" s="1"/>
  <c r="E114" i="3"/>
  <c r="E118" i="3" s="1"/>
  <c r="E11" i="2" s="1"/>
  <c r="E105" i="3"/>
  <c r="E117" i="3" s="1"/>
  <c r="D11" i="2" s="1"/>
  <c r="E96" i="3"/>
  <c r="E116" i="3" s="1"/>
  <c r="E86" i="3"/>
  <c r="E90" i="3" s="1"/>
  <c r="E10" i="2" s="1"/>
  <c r="E77" i="3"/>
  <c r="E89" i="3" s="1"/>
  <c r="D10" i="2" s="1"/>
  <c r="E68" i="3"/>
  <c r="E88" i="3" s="1"/>
  <c r="C10" i="2" l="1"/>
  <c r="D11" i="1" s="1"/>
  <c r="F102" i="3"/>
  <c r="I10" i="2"/>
  <c r="E11" i="1"/>
  <c r="C11" i="2"/>
  <c r="D12" i="1" s="1"/>
  <c r="B15" i="4" s="1"/>
  <c r="F130" i="3"/>
  <c r="C12" i="2"/>
  <c r="D13" i="1" s="1"/>
  <c r="F158" i="3"/>
  <c r="I12" i="2"/>
  <c r="E13" i="1"/>
  <c r="C13" i="2"/>
  <c r="D14" i="1" s="1"/>
  <c r="F187" i="3"/>
  <c r="I13" i="2"/>
  <c r="E14" i="1"/>
  <c r="C14" i="2"/>
  <c r="D15" i="1" s="1"/>
  <c r="F215" i="3"/>
  <c r="I14" i="2"/>
  <c r="E15" i="1"/>
  <c r="C15" i="2"/>
  <c r="D16" i="1" s="1"/>
  <c r="F243" i="3"/>
  <c r="I15" i="2"/>
  <c r="E16" i="1"/>
  <c r="C16" i="2"/>
  <c r="D17" i="1" s="1"/>
  <c r="F271" i="3"/>
  <c r="I16" i="2"/>
  <c r="E17" i="1"/>
  <c r="C17" i="2"/>
  <c r="D18" i="1" s="1"/>
  <c r="F299" i="3"/>
  <c r="I17" i="2"/>
  <c r="E18" i="1"/>
  <c r="C18" i="2"/>
  <c r="D19" i="1" s="1"/>
  <c r="F328" i="3"/>
  <c r="I18" i="2"/>
  <c r="E19" i="1"/>
  <c r="B23" i="4"/>
  <c r="I19" i="2"/>
  <c r="E20" i="1"/>
  <c r="F20" i="1" s="1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F74" i="3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C23" i="4"/>
  <c r="G23" i="4"/>
  <c r="F23" i="4"/>
  <c r="H23" i="4"/>
  <c r="E23" i="4"/>
  <c r="B22" i="4"/>
  <c r="F19" i="1"/>
  <c r="B21" i="4"/>
  <c r="F18" i="1"/>
  <c r="B20" i="4"/>
  <c r="F17" i="1"/>
  <c r="B19" i="4"/>
  <c r="F16" i="1"/>
  <c r="B18" i="4"/>
  <c r="F15" i="1"/>
  <c r="B17" i="4"/>
  <c r="F14" i="1"/>
  <c r="B16" i="4"/>
  <c r="F13" i="1"/>
  <c r="R27" i="4"/>
  <c r="F15" i="4"/>
  <c r="C15" i="4"/>
  <c r="G15" i="4"/>
  <c r="E15" i="4"/>
  <c r="H15" i="4"/>
  <c r="B14" i="4"/>
  <c r="F11" i="1"/>
  <c r="F9" i="2"/>
  <c r="F8" i="2"/>
  <c r="G8" i="2" s="1"/>
  <c r="G9" i="2" l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R26" i="4"/>
  <c r="E14" i="4"/>
  <c r="C14" i="4"/>
  <c r="H14" i="4"/>
  <c r="G14" i="4"/>
  <c r="F14" i="4"/>
  <c r="I15" i="4"/>
  <c r="R28" i="4"/>
  <c r="E16" i="4"/>
  <c r="G16" i="4"/>
  <c r="H16" i="4"/>
  <c r="C16" i="4"/>
  <c r="F16" i="4"/>
  <c r="R29" i="4"/>
  <c r="F17" i="4"/>
  <c r="E17" i="4"/>
  <c r="H17" i="4"/>
  <c r="C17" i="4"/>
  <c r="G17" i="4"/>
  <c r="R30" i="4"/>
  <c r="H18" i="4"/>
  <c r="C18" i="4"/>
  <c r="G18" i="4"/>
  <c r="F18" i="4"/>
  <c r="E18" i="4"/>
  <c r="R31" i="4"/>
  <c r="G19" i="4"/>
  <c r="F19" i="4"/>
  <c r="C19" i="4"/>
  <c r="E19" i="4"/>
  <c r="H19" i="4"/>
  <c r="R32" i="4"/>
  <c r="G20" i="4"/>
  <c r="F20" i="4"/>
  <c r="E20" i="4"/>
  <c r="H20" i="4"/>
  <c r="C20" i="4"/>
  <c r="I20" i="4" s="1"/>
  <c r="R33" i="4"/>
  <c r="E21" i="4"/>
  <c r="H21" i="4"/>
  <c r="C21" i="4"/>
  <c r="F21" i="4"/>
  <c r="G21" i="4"/>
  <c r="R34" i="4"/>
  <c r="H22" i="4"/>
  <c r="C22" i="4"/>
  <c r="G22" i="4"/>
  <c r="F22" i="4"/>
  <c r="E22" i="4"/>
  <c r="I23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I22" i="4"/>
  <c r="I21" i="4"/>
  <c r="I19" i="4"/>
  <c r="I18" i="4"/>
  <c r="I17" i="4"/>
  <c r="I16" i="4"/>
  <c r="I14" i="4"/>
  <c r="I13" i="4" l="1"/>
</calcChain>
</file>

<file path=xl/sharedStrings.xml><?xml version="1.0" encoding="utf-8"?>
<sst xmlns="http://schemas.openxmlformats.org/spreadsheetml/2006/main" count="818" uniqueCount="248">
  <si>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</si>
  <si>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</si>
  <si>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</si>
  <si>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</si>
  <si>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</si>
  <si>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</si>
  <si>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</si>
  <si>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</si>
  <si>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</si>
  <si>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</si>
  <si>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</si>
  <si>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</si>
  <si>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</si>
  <si>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</si>
  <si>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</si>
  <si>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</si>
  <si>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</si>
  <si>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</si>
  <si>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</si>
  <si>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</si>
  <si>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</si>
  <si>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</si>
  <si>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</si>
  <si>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</si>
  <si>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</si>
  <si>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</si>
  <si>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</si>
  <si>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</si>
  <si>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</si>
  <si>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</si>
  <si>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</si>
  <si>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</si>
  <si>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</si>
  <si>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</si>
  <si>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</si>
  <si>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</si>
  <si>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</si>
  <si>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</si>
  <si>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</si>
  <si>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</si>
  <si>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</si>
  <si>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</si>
  <si>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</si>
  <si>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</si>
  <si>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</si>
  <si>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</si>
  <si>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</si>
  <si>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</si>
  <si>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</si>
  <si>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</si>
  <si>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</si>
  <si>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</si>
  <si>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</si>
  <si>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</si>
  <si>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</si>
  <si>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</si>
  <si>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</si>
  <si>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</si>
  <si>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</si>
  <si>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</si>
  <si>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</si>
  <si>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</si>
  <si>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</si>
  <si>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</si>
  <si>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</si>
  <si>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</si>
  <si>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</si>
  <si>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</si>
  <si>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</si>
  <si>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</si>
  <si>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</si>
  <si>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</si>
  <si>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</si>
  <si>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</si>
  <si>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</si>
  <si>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</si>
  <si>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</si>
  <si>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</si>
  <si>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</si>
  <si>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</si>
  <si>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</si>
  <si>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</si>
  <si>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</si>
  <si>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</si>
  <si>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</si>
  <si>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</si>
  <si>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</si>
  <si>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</si>
  <si>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</si>
  <si>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</si>
  <si>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</si>
  <si>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</si>
  <si>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</si>
  <si>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</si>
  <si>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</si>
  <si>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</si>
  <si>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</si>
  <si>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</si>
  <si>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</si>
  <si>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</si>
  <si>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</si>
  <si>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</si>
  <si>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</si>
  <si>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</si>
  <si>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</si>
  <si>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</si>
  <si>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</si>
  <si>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</si>
  <si>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</si>
  <si>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</si>
  <si>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</si>
  <si>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</si>
  <si>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</si>
  <si>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</si>
  <si>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</si>
  <si>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</si>
  <si>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</si>
  <si>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</si>
  <si>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</si>
  <si>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</si>
  <si>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</si>
  <si>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</si>
  <si>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</si>
  <si>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</si>
  <si>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</si>
  <si>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</si>
  <si>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</si>
  <si>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</si>
  <si>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</si>
  <si>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</si>
  <si>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</si>
  <si>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</si>
  <si>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</si>
  <si>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</si>
  <si>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</si>
  <si>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</si>
  <si>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</si>
  <si>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</si>
  <si>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</si>
  <si>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</si>
  <si>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</si>
  <si>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</si>
  <si>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</si>
  <si>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</si>
  <si>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</si>
  <si>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</si>
  <si>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</si>
  <si>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</si>
  <si>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</si>
  <si>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</si>
  <si>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</si>
  <si>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</si>
  <si>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</si>
  <si>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</si>
  <si>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</si>
  <si>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</si>
  <si>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</si>
  <si>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</si>
  <si>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</si>
  <si>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</si>
  <si>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</si>
  <si>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</si>
  <si>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</si>
  <si>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</si>
  <si>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</si>
  <si>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</si>
  <si>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</si>
  <si>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</si>
  <si>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</si>
  <si>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</si>
  <si>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</si>
  <si>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</si>
  <si>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</si>
  <si>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</si>
  <si>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</si>
  <si>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</si>
  <si>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</si>
  <si>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</si>
  <si>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</si>
  <si>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</si>
  <si>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</si>
  <si>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</si>
  <si>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</si>
  <si>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</si>
  <si>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</si>
  <si>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</si>
  <si>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</si>
  <si>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</si>
  <si>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</si>
  <si>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</si>
  <si>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</si>
  <si>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</si>
  <si>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</si>
  <si>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</si>
  <si>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</si>
  <si>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</si>
  <si>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</si>
  <si>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</si>
  <si>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</si>
  <si>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</si>
  <si>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</si>
  <si>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</si>
  <si>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</si>
  <si>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</si>
  <si>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</si>
  <si>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</si>
  <si>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</si>
  <si>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</si>
  <si>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</si>
  <si>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</si>
  <si>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</si>
  <si>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</si>
  <si>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</si>
  <si>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</si>
  <si>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</si>
  <si>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</si>
  <si>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</si>
  <si>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</si>
  <si>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</si>
  <si>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</si>
  <si>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SELEÇÃO DE ALTERNATIVAS - PROBABILIDADES DESCONHECIDAS</t>
  </si>
  <si>
    <r>
      <t xml:space="preserve">Caso 1 = valores de resultados </t>
    </r>
    <r>
      <rPr>
        <b/>
        <sz val="14"/>
        <color rgb="FFFF0000"/>
        <rFont val="Calibri"/>
        <family val="2"/>
        <scheme val="minor"/>
      </rPr>
      <t>são bons quando maximizados</t>
    </r>
    <r>
      <rPr>
        <b/>
        <sz val="14"/>
        <color theme="1"/>
        <rFont val="Calibri"/>
        <family val="2"/>
        <scheme val="minor"/>
      </rPr>
      <t xml:space="preserve"> (exemplo: lucro)</t>
    </r>
  </si>
  <si>
    <t>(preencher os campos em laranja somente: valores de resultados e fator de otimismo)</t>
  </si>
  <si>
    <t>Resultado 1</t>
  </si>
  <si>
    <t>Resultado 2</t>
  </si>
  <si>
    <t>Resultado 3</t>
  </si>
  <si>
    <t>Resultado 4</t>
  </si>
  <si>
    <t>Mínimo (pior)</t>
  </si>
  <si>
    <t>Máximo (melhor)</t>
  </si>
  <si>
    <t>Hurwicz</t>
  </si>
  <si>
    <t>Laplace</t>
  </si>
  <si>
    <t>Alternativa A</t>
  </si>
  <si>
    <t>Alternativa B</t>
  </si>
  <si>
    <t>Alternativa C</t>
  </si>
  <si>
    <t>Alternativa D</t>
  </si>
  <si>
    <t>MAXIMIN</t>
  </si>
  <si>
    <t>MAXIMAX</t>
  </si>
  <si>
    <t>MELHOR VALOR HURWICZ</t>
  </si>
  <si>
    <t>Fator de otimismo:</t>
  </si>
  <si>
    <t>(0,00 a 1,00)</t>
  </si>
  <si>
    <t>MELHOR VALOR LAPLACE</t>
  </si>
  <si>
    <r>
      <t xml:space="preserve">Caso 2 = valores de resultados </t>
    </r>
    <r>
      <rPr>
        <b/>
        <sz val="14"/>
        <color rgb="FFFF0000"/>
        <rFont val="Calibri"/>
        <family val="2"/>
        <scheme val="minor"/>
      </rPr>
      <t>são bons quando minimizados</t>
    </r>
    <r>
      <rPr>
        <b/>
        <sz val="14"/>
        <color theme="1"/>
        <rFont val="Calibri"/>
        <family val="2"/>
        <scheme val="minor"/>
      </rPr>
      <t xml:space="preserve"> (exemplo: custo)</t>
    </r>
  </si>
  <si>
    <t>Máximo (pior)</t>
  </si>
  <si>
    <t>Mínimo (melhor)</t>
  </si>
  <si>
    <t>Não copíe e cole valores de resultados do quadro acima (Caso 1) para este abaixo (Caso 2)</t>
  </si>
  <si>
    <t>MINIMAX</t>
  </si>
  <si>
    <t>MINIMIN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</si>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</sst>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  <font>
      <b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0" fillId="0" borderId="0" xfId="0" applyBorder="1"/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0" borderId="0" xfId="0" applyFont="1"/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4" fontId="0" fillId="0" borderId="17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4" fontId="0" fillId="12" borderId="2" xfId="0" applyNumberFormat="1" applyFill="1" applyBorder="1" applyAlignment="1">
      <alignment horizontal="center"/>
    </xf>
    <xf numFmtId="4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0" fontId="12" fillId="12" borderId="10" xfId="0" applyNumberFormat="1" applyFont="1" applyFill="1" applyBorder="1" applyAlignment="1">
      <alignment horizontal="center" vertical="center"/>
    </xf>
    <xf numFmtId="10" fontId="12" fillId="12" borderId="4" xfId="0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1" fillId="9" borderId="20" xfId="0" applyFont="1" applyFill="1" applyBorder="1" applyAlignment="1">
      <alignment horizontal="center" wrapText="1"/>
    </xf>
    <xf numFmtId="0" fontId="1" fillId="9" borderId="21" xfId="0" applyFont="1" applyFill="1" applyBorder="1" applyAlignment="1">
      <alignment horizontal="center" wrapText="1"/>
    </xf>
    <xf numFmtId="0" fontId="1" fillId="9" borderId="22" xfId="0" applyFont="1" applyFill="1" applyBorder="1" applyAlignment="1">
      <alignment horizontal="center" wrapText="1"/>
    </xf>
    <xf numFmtId="0" fontId="1" fillId="9" borderId="19" xfId="0" applyFont="1" applyFill="1" applyBorder="1" applyAlignment="1">
      <alignment horizontal="center" wrapText="1"/>
    </xf>
    <xf numFmtId="0" fontId="1" fillId="9" borderId="0" xfId="0" applyFont="1" applyFill="1" applyBorder="1" applyAlignment="1">
      <alignment horizontal="center" wrapText="1"/>
    </xf>
    <xf numFmtId="0" fontId="1" fillId="9" borderId="23" xfId="0" applyFont="1" applyFill="1" applyBorder="1" applyAlignment="1">
      <alignment horizontal="center" wrapText="1"/>
    </xf>
    <xf numFmtId="0" fontId="1" fillId="9" borderId="24" xfId="0" applyFont="1" applyFill="1" applyBorder="1" applyAlignment="1">
      <alignment horizontal="center" wrapText="1"/>
    </xf>
    <xf numFmtId="0" fontId="1" fillId="9" borderId="25" xfId="0" applyFont="1" applyFill="1" applyBorder="1" applyAlignment="1">
      <alignment horizontal="center" wrapText="1"/>
    </xf>
    <xf numFmtId="0" fontId="1" fillId="9" borderId="26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3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86-431F-B189-751EDAA7A818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559</c:v>
                </c:pt>
                <c:pt idx="3">
                  <c:v>735</c:v>
                </c:pt>
                <c:pt idx="4">
                  <c:v>996</c:v>
                </c:pt>
                <c:pt idx="5">
                  <c:v>1195</c:v>
                </c:pt>
                <c:pt idx="6">
                  <c:v>1393</c:v>
                </c:pt>
                <c:pt idx="7">
                  <c:v>1705</c:v>
                </c:pt>
                <c:pt idx="8">
                  <c:v>2135</c:v>
                </c:pt>
                <c:pt idx="9">
                  <c:v>2809</c:v>
                </c:pt>
                <c:pt idx="10">
                  <c:v>3195</c:v>
                </c:pt>
                <c:pt idx="11">
                  <c:v>4009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86-431F-B189-751EDAA7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571552"/>
        <c:axId val="1484582432"/>
      </c:lineChart>
      <c:catAx>
        <c:axId val="1484571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4582432"/>
        <c:crosses val="autoZero"/>
        <c:auto val="1"/>
        <c:lblAlgn val="ctr"/>
        <c:lblOffset val="100"/>
        <c:noMultiLvlLbl val="0"/>
      </c:catAx>
      <c:valAx>
        <c:axId val="1484582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45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</xdr:row>
      <xdr:rowOff>171450</xdr:rowOff>
    </xdr:from>
    <xdr:to>
      <xdr:col>17</xdr:col>
      <xdr:colOff>200025</xdr:colOff>
      <xdr:row>18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0500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F682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121" t="s">
        <v>2</v>
      </c>
      <c r="C7" s="122"/>
      <c r="D7" s="122"/>
      <c r="E7" s="123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103">
        <v>1</v>
      </c>
      <c r="C14" s="112" t="s">
        <v>11</v>
      </c>
      <c r="D14" s="55" t="s">
        <v>12</v>
      </c>
      <c r="E14" s="57">
        <v>150</v>
      </c>
    </row>
    <row r="15" spans="1:6" x14ac:dyDescent="0.25">
      <c r="B15" s="104"/>
      <c r="C15" s="113"/>
      <c r="D15" s="55" t="s">
        <v>13</v>
      </c>
      <c r="E15" s="57">
        <v>30</v>
      </c>
    </row>
    <row r="16" spans="1:6" x14ac:dyDescent="0.25">
      <c r="B16" s="104"/>
      <c r="C16" s="113"/>
      <c r="D16" s="55" t="s">
        <v>14</v>
      </c>
      <c r="E16" s="57">
        <v>50</v>
      </c>
    </row>
    <row r="17" spans="2:6" x14ac:dyDescent="0.25">
      <c r="B17" s="104"/>
      <c r="C17" s="113"/>
      <c r="D17" s="55" t="s">
        <v>15</v>
      </c>
      <c r="E17" s="57">
        <v>80</v>
      </c>
    </row>
    <row r="18" spans="2:6" x14ac:dyDescent="0.25">
      <c r="B18" s="104"/>
      <c r="C18" s="113"/>
      <c r="D18" s="55"/>
      <c r="E18" s="57"/>
    </row>
    <row r="19" spans="2:6" x14ac:dyDescent="0.25">
      <c r="B19" s="105"/>
      <c r="C19" s="114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103">
        <v>1</v>
      </c>
      <c r="C23" s="112" t="s">
        <v>17</v>
      </c>
      <c r="D23" s="55" t="s">
        <v>18</v>
      </c>
      <c r="E23" s="57">
        <v>15</v>
      </c>
    </row>
    <row r="24" spans="2:6" x14ac:dyDescent="0.25">
      <c r="B24" s="104"/>
      <c r="C24" s="113"/>
      <c r="D24" s="55" t="s">
        <v>19</v>
      </c>
      <c r="E24" s="57">
        <v>50</v>
      </c>
    </row>
    <row r="25" spans="2:6" x14ac:dyDescent="0.25">
      <c r="B25" s="104"/>
      <c r="C25" s="113"/>
      <c r="D25" s="55"/>
      <c r="E25" s="57"/>
    </row>
    <row r="26" spans="2:6" x14ac:dyDescent="0.25">
      <c r="B26" s="104"/>
      <c r="C26" s="113"/>
      <c r="D26" s="55"/>
      <c r="E26" s="57"/>
    </row>
    <row r="27" spans="2:6" x14ac:dyDescent="0.25">
      <c r="B27" s="104"/>
      <c r="C27" s="113"/>
      <c r="D27" s="55"/>
      <c r="E27" s="57"/>
    </row>
    <row r="28" spans="2:6" x14ac:dyDescent="0.25">
      <c r="B28" s="105"/>
      <c r="C28" s="114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103" t="s">
        <v>21</v>
      </c>
      <c r="D31" s="28" t="s">
        <v>8</v>
      </c>
      <c r="E31" s="24">
        <f>E11</f>
        <v>0</v>
      </c>
    </row>
    <row r="32" spans="2:6" x14ac:dyDescent="0.25">
      <c r="C32" s="104"/>
      <c r="D32" s="28" t="s">
        <v>11</v>
      </c>
      <c r="E32" s="24">
        <f>E20</f>
        <v>310</v>
      </c>
    </row>
    <row r="33" spans="2:6" x14ac:dyDescent="0.25">
      <c r="C33" s="105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118" t="s">
        <v>22</v>
      </c>
      <c r="C36" s="119"/>
      <c r="D36" s="119"/>
      <c r="E36" s="120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100">
        <v>2</v>
      </c>
      <c r="C43" s="112" t="s">
        <v>11</v>
      </c>
      <c r="D43" s="55" t="s">
        <v>12</v>
      </c>
      <c r="E43" s="57">
        <v>200</v>
      </c>
    </row>
    <row r="44" spans="2:6" x14ac:dyDescent="0.25">
      <c r="B44" s="101"/>
      <c r="C44" s="113"/>
      <c r="D44" s="55" t="s">
        <v>13</v>
      </c>
      <c r="E44" s="57">
        <v>40</v>
      </c>
    </row>
    <row r="45" spans="2:6" x14ac:dyDescent="0.25">
      <c r="B45" s="101"/>
      <c r="C45" s="113"/>
      <c r="D45" s="55" t="s">
        <v>24</v>
      </c>
      <c r="E45" s="57">
        <v>160</v>
      </c>
    </row>
    <row r="46" spans="2:6" x14ac:dyDescent="0.25">
      <c r="B46" s="101"/>
      <c r="C46" s="113"/>
      <c r="D46" s="55"/>
      <c r="E46" s="57"/>
    </row>
    <row r="47" spans="2:6" x14ac:dyDescent="0.25">
      <c r="B47" s="101"/>
      <c r="C47" s="113"/>
      <c r="D47" s="19"/>
      <c r="E47" s="57"/>
    </row>
    <row r="48" spans="2:6" x14ac:dyDescent="0.25">
      <c r="B48" s="102"/>
      <c r="C48" s="114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100">
        <v>2</v>
      </c>
      <c r="C52" s="112" t="s">
        <v>17</v>
      </c>
      <c r="D52" s="55" t="s">
        <v>18</v>
      </c>
      <c r="E52" s="57">
        <v>15</v>
      </c>
    </row>
    <row r="53" spans="2:6" x14ac:dyDescent="0.25">
      <c r="B53" s="101"/>
      <c r="C53" s="113"/>
      <c r="D53" s="55" t="s">
        <v>19</v>
      </c>
      <c r="E53" s="57">
        <v>50</v>
      </c>
    </row>
    <row r="54" spans="2:6" x14ac:dyDescent="0.25">
      <c r="B54" s="101"/>
      <c r="C54" s="113"/>
      <c r="D54" s="53"/>
      <c r="E54" s="57"/>
    </row>
    <row r="55" spans="2:6" x14ac:dyDescent="0.25">
      <c r="B55" s="101"/>
      <c r="C55" s="113"/>
      <c r="D55" s="53"/>
      <c r="E55" s="57"/>
    </row>
    <row r="56" spans="2:6" x14ac:dyDescent="0.25">
      <c r="B56" s="101"/>
      <c r="C56" s="113"/>
      <c r="D56" s="53"/>
      <c r="E56" s="57"/>
    </row>
    <row r="57" spans="2:6" x14ac:dyDescent="0.25">
      <c r="B57" s="102"/>
      <c r="C57" s="114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100" t="s">
        <v>27</v>
      </c>
      <c r="D60" s="32" t="s">
        <v>8</v>
      </c>
      <c r="E60" s="24">
        <f>E40</f>
        <v>400</v>
      </c>
    </row>
    <row r="61" spans="2:6" x14ac:dyDescent="0.25">
      <c r="C61" s="101"/>
      <c r="D61" s="32" t="s">
        <v>11</v>
      </c>
      <c r="E61" s="24">
        <f>E49</f>
        <v>400</v>
      </c>
    </row>
    <row r="62" spans="2:6" x14ac:dyDescent="0.25">
      <c r="C62" s="102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115" t="s">
        <v>28</v>
      </c>
      <c r="C64" s="116"/>
      <c r="D64" s="116"/>
      <c r="E64" s="117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97">
        <v>3</v>
      </c>
      <c r="C71" s="112" t="s">
        <v>11</v>
      </c>
      <c r="D71" s="55" t="s">
        <v>12</v>
      </c>
      <c r="E71" s="57">
        <v>240</v>
      </c>
    </row>
    <row r="72" spans="2:6" x14ac:dyDescent="0.25">
      <c r="B72" s="98"/>
      <c r="C72" s="113"/>
      <c r="D72" s="55" t="s">
        <v>13</v>
      </c>
      <c r="E72" s="57">
        <v>50</v>
      </c>
    </row>
    <row r="73" spans="2:6" x14ac:dyDescent="0.25">
      <c r="B73" s="98"/>
      <c r="C73" s="113"/>
      <c r="D73" s="55" t="s">
        <v>24</v>
      </c>
      <c r="E73" s="57">
        <v>180</v>
      </c>
    </row>
    <row r="74" spans="2:6" x14ac:dyDescent="0.25">
      <c r="B74" s="98"/>
      <c r="C74" s="113"/>
      <c r="D74" s="55" t="s">
        <v>30</v>
      </c>
      <c r="E74" s="57">
        <v>24</v>
      </c>
      <c r="F74" s="15">
        <f>E74/E60</f>
        <v>0.06</v>
      </c>
    </row>
    <row r="75" spans="2:6" x14ac:dyDescent="0.25">
      <c r="B75" s="98"/>
      <c r="C75" s="113"/>
      <c r="D75" s="53"/>
      <c r="E75" s="57"/>
    </row>
    <row r="76" spans="2:6" x14ac:dyDescent="0.25">
      <c r="B76" s="99"/>
      <c r="C76" s="114"/>
      <c r="D76" s="54"/>
      <c r="E76" s="58"/>
    </row>
    <row r="77" spans="2:6" x14ac:dyDescent="0.25">
      <c r="D77" s="18" t="s">
        <v>31</v>
      </c>
      <c r="E77" s="27">
        <f>SUM(E71:E76)</f>
        <v>494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97">
        <v>3</v>
      </c>
      <c r="C80" s="112" t="s">
        <v>17</v>
      </c>
      <c r="D80" s="55" t="s">
        <v>18</v>
      </c>
      <c r="E80" s="57">
        <v>15</v>
      </c>
    </row>
    <row r="81" spans="2:6" x14ac:dyDescent="0.25">
      <c r="B81" s="98"/>
      <c r="C81" s="113"/>
      <c r="D81" s="55" t="s">
        <v>19</v>
      </c>
      <c r="E81" s="57">
        <v>50</v>
      </c>
    </row>
    <row r="82" spans="2:6" x14ac:dyDescent="0.25">
      <c r="B82" s="98"/>
      <c r="C82" s="113"/>
      <c r="D82" s="53"/>
      <c r="E82" s="57"/>
    </row>
    <row r="83" spans="2:6" x14ac:dyDescent="0.25">
      <c r="B83" s="98"/>
      <c r="C83" s="113"/>
      <c r="D83" s="53"/>
      <c r="E83" s="57"/>
    </row>
    <row r="84" spans="2:6" x14ac:dyDescent="0.25">
      <c r="B84" s="98"/>
      <c r="C84" s="113"/>
      <c r="D84" s="53"/>
      <c r="E84" s="57"/>
    </row>
    <row r="85" spans="2:6" x14ac:dyDescent="0.25">
      <c r="B85" s="99"/>
      <c r="C85" s="114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97" t="s">
        <v>33</v>
      </c>
      <c r="D88" s="38" t="s">
        <v>8</v>
      </c>
      <c r="E88" s="24">
        <f>E68</f>
        <v>500</v>
      </c>
    </row>
    <row r="89" spans="2:6" x14ac:dyDescent="0.25">
      <c r="C89" s="98"/>
      <c r="D89" s="38" t="s">
        <v>11</v>
      </c>
      <c r="E89" s="24">
        <f>E77</f>
        <v>494</v>
      </c>
    </row>
    <row r="90" spans="2:6" x14ac:dyDescent="0.25">
      <c r="C90" s="99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109" t="s">
        <v>34</v>
      </c>
      <c r="C92" s="110"/>
      <c r="D92" s="110"/>
      <c r="E92" s="111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94">
        <v>4</v>
      </c>
      <c r="C99" s="112" t="s">
        <v>11</v>
      </c>
      <c r="D99" s="55" t="s">
        <v>12</v>
      </c>
      <c r="E99" s="57">
        <v>340</v>
      </c>
    </row>
    <row r="100" spans="2:6" x14ac:dyDescent="0.25">
      <c r="B100" s="95"/>
      <c r="C100" s="113"/>
      <c r="D100" s="55" t="s">
        <v>13</v>
      </c>
      <c r="E100" s="57">
        <v>70</v>
      </c>
    </row>
    <row r="101" spans="2:6" x14ac:dyDescent="0.25">
      <c r="B101" s="95"/>
      <c r="C101" s="113"/>
      <c r="D101" s="55" t="s">
        <v>24</v>
      </c>
      <c r="E101" s="57">
        <v>230</v>
      </c>
    </row>
    <row r="102" spans="2:6" x14ac:dyDescent="0.25">
      <c r="B102" s="95"/>
      <c r="C102" s="113"/>
      <c r="D102" s="55" t="s">
        <v>30</v>
      </c>
      <c r="E102" s="57">
        <v>30</v>
      </c>
      <c r="F102" s="15">
        <f>E102/E88</f>
        <v>0.06</v>
      </c>
    </row>
    <row r="103" spans="2:6" x14ac:dyDescent="0.25">
      <c r="B103" s="95"/>
      <c r="C103" s="113"/>
      <c r="D103" s="53"/>
      <c r="E103" s="57"/>
    </row>
    <row r="104" spans="2:6" x14ac:dyDescent="0.25">
      <c r="B104" s="96"/>
      <c r="C104" s="114"/>
      <c r="D104" s="54"/>
      <c r="E104" s="58"/>
    </row>
    <row r="105" spans="2:6" x14ac:dyDescent="0.25">
      <c r="D105" s="18" t="s">
        <v>36</v>
      </c>
      <c r="E105" s="27">
        <f>SUM(E99:E104)</f>
        <v>670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94">
        <v>4</v>
      </c>
      <c r="C108" s="112" t="s">
        <v>17</v>
      </c>
      <c r="D108" s="55" t="s">
        <v>18</v>
      </c>
      <c r="E108" s="57">
        <v>15</v>
      </c>
    </row>
    <row r="109" spans="2:6" x14ac:dyDescent="0.25">
      <c r="B109" s="95"/>
      <c r="C109" s="113"/>
      <c r="D109" s="55" t="s">
        <v>19</v>
      </c>
      <c r="E109" s="57">
        <v>50</v>
      </c>
    </row>
    <row r="110" spans="2:6" x14ac:dyDescent="0.25">
      <c r="B110" s="95"/>
      <c r="C110" s="113"/>
      <c r="D110" s="53"/>
      <c r="E110" s="57"/>
    </row>
    <row r="111" spans="2:6" x14ac:dyDescent="0.25">
      <c r="B111" s="95"/>
      <c r="C111" s="113"/>
      <c r="D111" s="53"/>
      <c r="E111" s="57"/>
    </row>
    <row r="112" spans="2:6" x14ac:dyDescent="0.25">
      <c r="B112" s="95"/>
      <c r="C112" s="113"/>
      <c r="D112" s="53"/>
      <c r="E112" s="57"/>
    </row>
    <row r="113" spans="2:6" x14ac:dyDescent="0.25">
      <c r="B113" s="96"/>
      <c r="C113" s="114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94" t="s">
        <v>38</v>
      </c>
      <c r="D116" s="41" t="s">
        <v>8</v>
      </c>
      <c r="E116" s="24">
        <f>E96</f>
        <v>700</v>
      </c>
    </row>
    <row r="117" spans="2:6" x14ac:dyDescent="0.25">
      <c r="C117" s="95"/>
      <c r="D117" s="41" t="s">
        <v>11</v>
      </c>
      <c r="E117" s="24">
        <f>E105</f>
        <v>670</v>
      </c>
    </row>
    <row r="118" spans="2:6" x14ac:dyDescent="0.25">
      <c r="C118" s="96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24" t="s">
        <v>39</v>
      </c>
      <c r="C120" s="125"/>
      <c r="D120" s="125"/>
      <c r="E120" s="126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106">
        <v>5</v>
      </c>
      <c r="C127" s="112" t="s">
        <v>11</v>
      </c>
      <c r="D127" s="55" t="s">
        <v>12</v>
      </c>
      <c r="E127" s="57">
        <v>490</v>
      </c>
    </row>
    <row r="128" spans="2:6" x14ac:dyDescent="0.25">
      <c r="B128" s="107"/>
      <c r="C128" s="113"/>
      <c r="D128" s="55" t="s">
        <v>13</v>
      </c>
      <c r="E128" s="57">
        <v>99</v>
      </c>
    </row>
    <row r="129" spans="2:6" x14ac:dyDescent="0.25">
      <c r="B129" s="107"/>
      <c r="C129" s="113"/>
      <c r="D129" s="55" t="s">
        <v>24</v>
      </c>
      <c r="E129" s="57">
        <v>300</v>
      </c>
    </row>
    <row r="130" spans="2:6" x14ac:dyDescent="0.25">
      <c r="B130" s="107"/>
      <c r="C130" s="113"/>
      <c r="D130" s="55" t="s">
        <v>30</v>
      </c>
      <c r="E130" s="57">
        <v>42</v>
      </c>
      <c r="F130" s="15">
        <f>E130/E116</f>
        <v>0.06</v>
      </c>
    </row>
    <row r="131" spans="2:6" x14ac:dyDescent="0.25">
      <c r="B131" s="107"/>
      <c r="C131" s="113"/>
      <c r="D131" s="53"/>
      <c r="E131" s="57"/>
    </row>
    <row r="132" spans="2:6" x14ac:dyDescent="0.25">
      <c r="B132" s="108"/>
      <c r="C132" s="114"/>
      <c r="D132" s="54"/>
      <c r="E132" s="58"/>
    </row>
    <row r="133" spans="2:6" x14ac:dyDescent="0.25">
      <c r="D133" s="18" t="s">
        <v>41</v>
      </c>
      <c r="E133" s="27">
        <f>SUM(E127:E132)</f>
        <v>931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106">
        <v>5</v>
      </c>
      <c r="C136" s="112" t="s">
        <v>17</v>
      </c>
      <c r="D136" s="55" t="s">
        <v>18</v>
      </c>
      <c r="E136" s="57">
        <v>15</v>
      </c>
    </row>
    <row r="137" spans="2:6" x14ac:dyDescent="0.25">
      <c r="B137" s="107"/>
      <c r="C137" s="113"/>
      <c r="D137" s="55" t="s">
        <v>19</v>
      </c>
      <c r="E137" s="57">
        <v>50</v>
      </c>
    </row>
    <row r="138" spans="2:6" x14ac:dyDescent="0.25">
      <c r="B138" s="107"/>
      <c r="C138" s="113"/>
      <c r="D138" s="53"/>
      <c r="E138" s="57"/>
    </row>
    <row r="139" spans="2:6" x14ac:dyDescent="0.25">
      <c r="B139" s="107"/>
      <c r="C139" s="113"/>
      <c r="D139" s="53"/>
      <c r="E139" s="57"/>
    </row>
    <row r="140" spans="2:6" x14ac:dyDescent="0.25">
      <c r="B140" s="107"/>
      <c r="C140" s="113"/>
      <c r="D140" s="53"/>
      <c r="E140" s="57"/>
    </row>
    <row r="141" spans="2:6" x14ac:dyDescent="0.25">
      <c r="B141" s="108"/>
      <c r="C141" s="114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106" t="s">
        <v>43</v>
      </c>
      <c r="D144" s="44" t="s">
        <v>8</v>
      </c>
      <c r="E144" s="24">
        <f>E124</f>
        <v>1000</v>
      </c>
    </row>
    <row r="145" spans="2:6" x14ac:dyDescent="0.25">
      <c r="C145" s="107"/>
      <c r="D145" s="44" t="s">
        <v>11</v>
      </c>
      <c r="E145" s="24">
        <f>E133</f>
        <v>931</v>
      </c>
    </row>
    <row r="146" spans="2:6" x14ac:dyDescent="0.25">
      <c r="C146" s="108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121" t="s">
        <v>44</v>
      </c>
      <c r="C148" s="122"/>
      <c r="D148" s="122"/>
      <c r="E148" s="123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103">
        <v>6</v>
      </c>
      <c r="C155" s="112" t="s">
        <v>11</v>
      </c>
      <c r="D155" s="55" t="s">
        <v>12</v>
      </c>
      <c r="E155" s="57">
        <v>600</v>
      </c>
    </row>
    <row r="156" spans="2:6" x14ac:dyDescent="0.25">
      <c r="B156" s="104"/>
      <c r="C156" s="113"/>
      <c r="D156" s="55" t="s">
        <v>13</v>
      </c>
      <c r="E156" s="57">
        <v>120</v>
      </c>
    </row>
    <row r="157" spans="2:6" x14ac:dyDescent="0.25">
      <c r="B157" s="104"/>
      <c r="C157" s="113"/>
      <c r="D157" s="55" t="s">
        <v>24</v>
      </c>
      <c r="E157" s="57">
        <v>350</v>
      </c>
    </row>
    <row r="158" spans="2:6" x14ac:dyDescent="0.25">
      <c r="B158" s="104"/>
      <c r="C158" s="113"/>
      <c r="D158" s="55" t="s">
        <v>30</v>
      </c>
      <c r="E158" s="57">
        <v>60</v>
      </c>
      <c r="F158" s="15">
        <f>E158/E144</f>
        <v>0.06</v>
      </c>
    </row>
    <row r="159" spans="2:6" x14ac:dyDescent="0.25">
      <c r="B159" s="104"/>
      <c r="C159" s="113"/>
      <c r="D159" s="53"/>
      <c r="E159" s="57"/>
    </row>
    <row r="160" spans="2:6" x14ac:dyDescent="0.25">
      <c r="B160" s="105"/>
      <c r="C160" s="114"/>
      <c r="D160" s="54"/>
      <c r="E160" s="58"/>
    </row>
    <row r="161" spans="2:6" x14ac:dyDescent="0.25">
      <c r="D161" s="18" t="s">
        <v>46</v>
      </c>
      <c r="E161" s="27">
        <f>SUM(E155:E160)</f>
        <v>1130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103">
        <v>6</v>
      </c>
      <c r="C164" s="112" t="s">
        <v>17</v>
      </c>
      <c r="D164" s="55" t="s">
        <v>18</v>
      </c>
      <c r="E164" s="57">
        <v>15</v>
      </c>
    </row>
    <row r="165" spans="2:6" x14ac:dyDescent="0.25">
      <c r="B165" s="104"/>
      <c r="C165" s="113"/>
      <c r="D165" s="55" t="s">
        <v>19</v>
      </c>
      <c r="E165" s="57">
        <v>50</v>
      </c>
    </row>
    <row r="166" spans="2:6" x14ac:dyDescent="0.25">
      <c r="B166" s="104"/>
      <c r="C166" s="113"/>
      <c r="D166" s="53"/>
      <c r="E166" s="57"/>
    </row>
    <row r="167" spans="2:6" x14ac:dyDescent="0.25">
      <c r="B167" s="104"/>
      <c r="C167" s="113"/>
      <c r="D167" s="53"/>
      <c r="E167" s="57"/>
    </row>
    <row r="168" spans="2:6" x14ac:dyDescent="0.25">
      <c r="B168" s="104"/>
      <c r="C168" s="113"/>
      <c r="D168" s="53"/>
      <c r="E168" s="57"/>
    </row>
    <row r="169" spans="2:6" x14ac:dyDescent="0.25">
      <c r="B169" s="105"/>
      <c r="C169" s="114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103" t="s">
        <v>48</v>
      </c>
      <c r="D172" s="28" t="s">
        <v>8</v>
      </c>
      <c r="E172" s="24">
        <f>E152</f>
        <v>1300</v>
      </c>
    </row>
    <row r="173" spans="2:6" x14ac:dyDescent="0.25">
      <c r="C173" s="104"/>
      <c r="D173" s="28" t="s">
        <v>11</v>
      </c>
      <c r="E173" s="24">
        <f>E161</f>
        <v>1130</v>
      </c>
    </row>
    <row r="174" spans="2:6" x14ac:dyDescent="0.25">
      <c r="C174" s="105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118" t="s">
        <v>49</v>
      </c>
      <c r="C177" s="119"/>
      <c r="D177" s="119"/>
      <c r="E177" s="120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100">
        <v>7</v>
      </c>
      <c r="C184" s="112" t="s">
        <v>11</v>
      </c>
      <c r="D184" s="55" t="s">
        <v>12</v>
      </c>
      <c r="E184" s="57">
        <v>700</v>
      </c>
    </row>
    <row r="185" spans="2:6" x14ac:dyDescent="0.25">
      <c r="B185" s="101"/>
      <c r="C185" s="113"/>
      <c r="D185" s="55" t="s">
        <v>13</v>
      </c>
      <c r="E185" s="57">
        <v>150</v>
      </c>
    </row>
    <row r="186" spans="2:6" x14ac:dyDescent="0.25">
      <c r="B186" s="101"/>
      <c r="C186" s="113"/>
      <c r="D186" s="55" t="s">
        <v>24</v>
      </c>
      <c r="E186" s="57">
        <v>400</v>
      </c>
    </row>
    <row r="187" spans="2:6" x14ac:dyDescent="0.25">
      <c r="B187" s="101"/>
      <c r="C187" s="113"/>
      <c r="D187" s="55" t="s">
        <v>30</v>
      </c>
      <c r="E187" s="57">
        <v>78</v>
      </c>
      <c r="F187" s="15">
        <f>E187/E172</f>
        <v>0.06</v>
      </c>
    </row>
    <row r="188" spans="2:6" x14ac:dyDescent="0.25">
      <c r="B188" s="101"/>
      <c r="C188" s="113"/>
      <c r="D188" s="53"/>
      <c r="E188" s="57"/>
    </row>
    <row r="189" spans="2:6" x14ac:dyDescent="0.25">
      <c r="B189" s="102"/>
      <c r="C189" s="114"/>
      <c r="D189" s="54"/>
      <c r="E189" s="58"/>
    </row>
    <row r="190" spans="2:6" x14ac:dyDescent="0.25">
      <c r="D190" s="18" t="s">
        <v>51</v>
      </c>
      <c r="E190" s="27">
        <f>SUM(E184:E189)</f>
        <v>1328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100">
        <v>7</v>
      </c>
      <c r="C193" s="112" t="s">
        <v>17</v>
      </c>
      <c r="D193" s="55" t="s">
        <v>18</v>
      </c>
      <c r="E193" s="57">
        <v>15</v>
      </c>
    </row>
    <row r="194" spans="2:6" x14ac:dyDescent="0.25">
      <c r="B194" s="101"/>
      <c r="C194" s="113"/>
      <c r="D194" s="55" t="s">
        <v>19</v>
      </c>
      <c r="E194" s="57">
        <v>50</v>
      </c>
    </row>
    <row r="195" spans="2:6" x14ac:dyDescent="0.25">
      <c r="B195" s="101"/>
      <c r="C195" s="113"/>
      <c r="D195" s="53"/>
      <c r="E195" s="57"/>
    </row>
    <row r="196" spans="2:6" x14ac:dyDescent="0.25">
      <c r="B196" s="101"/>
      <c r="C196" s="113"/>
      <c r="D196" s="53"/>
      <c r="E196" s="57"/>
    </row>
    <row r="197" spans="2:6" x14ac:dyDescent="0.25">
      <c r="B197" s="101"/>
      <c r="C197" s="113"/>
      <c r="D197" s="53"/>
      <c r="E197" s="57"/>
    </row>
    <row r="198" spans="2:6" x14ac:dyDescent="0.25">
      <c r="B198" s="102"/>
      <c r="C198" s="114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100" t="s">
        <v>53</v>
      </c>
      <c r="D201" s="32" t="s">
        <v>8</v>
      </c>
      <c r="E201" s="24">
        <f>E181</f>
        <v>1500</v>
      </c>
    </row>
    <row r="202" spans="2:6" x14ac:dyDescent="0.25">
      <c r="C202" s="101"/>
      <c r="D202" s="32" t="s">
        <v>11</v>
      </c>
      <c r="E202" s="24">
        <f>E190</f>
        <v>1328</v>
      </c>
    </row>
    <row r="203" spans="2:6" x14ac:dyDescent="0.25">
      <c r="C203" s="102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115" t="s">
        <v>54</v>
      </c>
      <c r="C205" s="116"/>
      <c r="D205" s="116"/>
      <c r="E205" s="117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97">
        <v>8</v>
      </c>
      <c r="C212" s="112" t="s">
        <v>11</v>
      </c>
      <c r="D212" s="55" t="s">
        <v>12</v>
      </c>
      <c r="E212" s="57">
        <v>850</v>
      </c>
    </row>
    <row r="213" spans="2:6" x14ac:dyDescent="0.25">
      <c r="B213" s="98"/>
      <c r="C213" s="113"/>
      <c r="D213" s="55" t="s">
        <v>13</v>
      </c>
      <c r="E213" s="57">
        <v>200</v>
      </c>
    </row>
    <row r="214" spans="2:6" x14ac:dyDescent="0.25">
      <c r="B214" s="98"/>
      <c r="C214" s="113"/>
      <c r="D214" s="55" t="s">
        <v>24</v>
      </c>
      <c r="E214" s="57">
        <v>500</v>
      </c>
    </row>
    <row r="215" spans="2:6" x14ac:dyDescent="0.25">
      <c r="B215" s="98"/>
      <c r="C215" s="113"/>
      <c r="D215" s="55" t="s">
        <v>30</v>
      </c>
      <c r="E215" s="57">
        <v>90</v>
      </c>
      <c r="F215" s="15">
        <f>E215/E201</f>
        <v>0.06</v>
      </c>
    </row>
    <row r="216" spans="2:6" x14ac:dyDescent="0.25">
      <c r="B216" s="98"/>
      <c r="C216" s="113"/>
      <c r="D216" s="53"/>
      <c r="E216" s="57"/>
    </row>
    <row r="217" spans="2:6" x14ac:dyDescent="0.25">
      <c r="B217" s="99"/>
      <c r="C217" s="114"/>
      <c r="D217" s="54"/>
      <c r="E217" s="58"/>
    </row>
    <row r="218" spans="2:6" x14ac:dyDescent="0.25">
      <c r="D218" s="18" t="s">
        <v>56</v>
      </c>
      <c r="E218" s="27">
        <f>SUM(E212:E217)</f>
        <v>1640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97">
        <v>8</v>
      </c>
      <c r="C221" s="112" t="s">
        <v>17</v>
      </c>
      <c r="D221" s="55" t="s">
        <v>18</v>
      </c>
      <c r="E221" s="57">
        <v>15</v>
      </c>
    </row>
    <row r="222" spans="2:6" x14ac:dyDescent="0.25">
      <c r="B222" s="98"/>
      <c r="C222" s="113"/>
      <c r="D222" s="55" t="s">
        <v>19</v>
      </c>
      <c r="E222" s="57">
        <v>50</v>
      </c>
    </row>
    <row r="223" spans="2:6" x14ac:dyDescent="0.25">
      <c r="B223" s="98"/>
      <c r="C223" s="113"/>
      <c r="D223" s="53"/>
      <c r="E223" s="57"/>
    </row>
    <row r="224" spans="2:6" x14ac:dyDescent="0.25">
      <c r="B224" s="98"/>
      <c r="C224" s="113"/>
      <c r="D224" s="53"/>
      <c r="E224" s="57"/>
    </row>
    <row r="225" spans="2:6" x14ac:dyDescent="0.25">
      <c r="B225" s="98"/>
      <c r="C225" s="113"/>
      <c r="D225" s="53"/>
      <c r="E225" s="57"/>
    </row>
    <row r="226" spans="2:6" x14ac:dyDescent="0.25">
      <c r="B226" s="99"/>
      <c r="C226" s="114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97" t="s">
        <v>58</v>
      </c>
      <c r="D229" s="38" t="s">
        <v>8</v>
      </c>
      <c r="E229" s="24">
        <f>E209</f>
        <v>2000</v>
      </c>
    </row>
    <row r="230" spans="2:6" x14ac:dyDescent="0.25">
      <c r="C230" s="98"/>
      <c r="D230" s="38" t="s">
        <v>11</v>
      </c>
      <c r="E230" s="24">
        <f>E218</f>
        <v>1640</v>
      </c>
    </row>
    <row r="231" spans="2:6" x14ac:dyDescent="0.25">
      <c r="C231" s="99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109" t="s">
        <v>59</v>
      </c>
      <c r="C233" s="110"/>
      <c r="D233" s="110"/>
      <c r="E233" s="111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94">
        <v>9</v>
      </c>
      <c r="C240" s="112" t="s">
        <v>11</v>
      </c>
      <c r="D240" s="55" t="s">
        <v>12</v>
      </c>
      <c r="E240" s="57">
        <v>1000</v>
      </c>
    </row>
    <row r="241" spans="2:6" x14ac:dyDescent="0.25">
      <c r="B241" s="95"/>
      <c r="C241" s="113"/>
      <c r="D241" s="55" t="s">
        <v>13</v>
      </c>
      <c r="E241" s="57">
        <v>300</v>
      </c>
    </row>
    <row r="242" spans="2:6" x14ac:dyDescent="0.25">
      <c r="B242" s="95"/>
      <c r="C242" s="113"/>
      <c r="D242" s="55" t="s">
        <v>24</v>
      </c>
      <c r="E242" s="57">
        <v>650</v>
      </c>
    </row>
    <row r="243" spans="2:6" x14ac:dyDescent="0.25">
      <c r="B243" s="95"/>
      <c r="C243" s="113"/>
      <c r="D243" s="55" t="s">
        <v>30</v>
      </c>
      <c r="E243" s="57">
        <v>120</v>
      </c>
      <c r="F243" s="15">
        <f>E243/E229</f>
        <v>0.06</v>
      </c>
    </row>
    <row r="244" spans="2:6" x14ac:dyDescent="0.25">
      <c r="B244" s="95"/>
      <c r="C244" s="113"/>
      <c r="D244" s="53"/>
      <c r="E244" s="57"/>
    </row>
    <row r="245" spans="2:6" x14ac:dyDescent="0.25">
      <c r="B245" s="96"/>
      <c r="C245" s="114"/>
      <c r="D245" s="54"/>
      <c r="E245" s="58"/>
    </row>
    <row r="246" spans="2:6" x14ac:dyDescent="0.25">
      <c r="D246" s="18" t="s">
        <v>61</v>
      </c>
      <c r="E246" s="27">
        <f>SUM(E240:E245)</f>
        <v>2070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94">
        <v>9</v>
      </c>
      <c r="C249" s="112" t="s">
        <v>17</v>
      </c>
      <c r="D249" s="55" t="s">
        <v>18</v>
      </c>
      <c r="E249" s="57">
        <v>15</v>
      </c>
    </row>
    <row r="250" spans="2:6" x14ac:dyDescent="0.25">
      <c r="B250" s="95"/>
      <c r="C250" s="113"/>
      <c r="D250" s="55" t="s">
        <v>19</v>
      </c>
      <c r="E250" s="57">
        <v>50</v>
      </c>
    </row>
    <row r="251" spans="2:6" x14ac:dyDescent="0.25">
      <c r="B251" s="95"/>
      <c r="C251" s="113"/>
      <c r="D251" s="53"/>
      <c r="E251" s="57"/>
    </row>
    <row r="252" spans="2:6" x14ac:dyDescent="0.25">
      <c r="B252" s="95"/>
      <c r="C252" s="113"/>
      <c r="D252" s="53"/>
      <c r="E252" s="57"/>
    </row>
    <row r="253" spans="2:6" x14ac:dyDescent="0.25">
      <c r="B253" s="95"/>
      <c r="C253" s="113"/>
      <c r="D253" s="53"/>
      <c r="E253" s="57"/>
    </row>
    <row r="254" spans="2:6" x14ac:dyDescent="0.25">
      <c r="B254" s="96"/>
      <c r="C254" s="114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94" t="s">
        <v>63</v>
      </c>
      <c r="D257" s="41" t="s">
        <v>8</v>
      </c>
      <c r="E257" s="24">
        <f>E237</f>
        <v>2400</v>
      </c>
    </row>
    <row r="258" spans="2:6" x14ac:dyDescent="0.25">
      <c r="C258" s="95"/>
      <c r="D258" s="41" t="s">
        <v>11</v>
      </c>
      <c r="E258" s="24">
        <f>E246</f>
        <v>2070</v>
      </c>
    </row>
    <row r="259" spans="2:6" x14ac:dyDescent="0.25">
      <c r="C259" s="96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24" t="s">
        <v>64</v>
      </c>
      <c r="C261" s="125"/>
      <c r="D261" s="125"/>
      <c r="E261" s="126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106">
        <v>10</v>
      </c>
      <c r="C268" s="112" t="s">
        <v>11</v>
      </c>
      <c r="D268" s="55" t="s">
        <v>12</v>
      </c>
      <c r="E268" s="57">
        <v>1400</v>
      </c>
    </row>
    <row r="269" spans="2:6" x14ac:dyDescent="0.25">
      <c r="B269" s="107"/>
      <c r="C269" s="113"/>
      <c r="D269" s="55" t="s">
        <v>13</v>
      </c>
      <c r="E269" s="57">
        <v>400</v>
      </c>
    </row>
    <row r="270" spans="2:6" x14ac:dyDescent="0.25">
      <c r="B270" s="107"/>
      <c r="C270" s="113"/>
      <c r="D270" s="55" t="s">
        <v>24</v>
      </c>
      <c r="E270" s="57">
        <v>800</v>
      </c>
    </row>
    <row r="271" spans="2:6" x14ac:dyDescent="0.25">
      <c r="B271" s="107"/>
      <c r="C271" s="113"/>
      <c r="D271" s="55" t="s">
        <v>30</v>
      </c>
      <c r="E271" s="57">
        <v>144</v>
      </c>
      <c r="F271" s="15">
        <f>E271/E257</f>
        <v>0.06</v>
      </c>
    </row>
    <row r="272" spans="2:6" x14ac:dyDescent="0.25">
      <c r="B272" s="107"/>
      <c r="C272" s="113"/>
      <c r="D272" s="53"/>
      <c r="E272" s="57"/>
    </row>
    <row r="273" spans="2:6" x14ac:dyDescent="0.25">
      <c r="B273" s="108"/>
      <c r="C273" s="114"/>
      <c r="D273" s="54"/>
      <c r="E273" s="58"/>
    </row>
    <row r="274" spans="2:6" x14ac:dyDescent="0.25">
      <c r="D274" s="18" t="s">
        <v>66</v>
      </c>
      <c r="E274" s="27">
        <f>SUM(E268:E273)</f>
        <v>2744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106">
        <v>10</v>
      </c>
      <c r="C277" s="112" t="s">
        <v>17</v>
      </c>
      <c r="D277" s="55" t="s">
        <v>18</v>
      </c>
      <c r="E277" s="57">
        <v>15</v>
      </c>
    </row>
    <row r="278" spans="2:6" x14ac:dyDescent="0.25">
      <c r="B278" s="107"/>
      <c r="C278" s="113"/>
      <c r="D278" s="55" t="s">
        <v>19</v>
      </c>
      <c r="E278" s="57">
        <v>50</v>
      </c>
    </row>
    <row r="279" spans="2:6" x14ac:dyDescent="0.25">
      <c r="B279" s="107"/>
      <c r="C279" s="113"/>
      <c r="D279" s="53"/>
      <c r="E279" s="57"/>
    </row>
    <row r="280" spans="2:6" x14ac:dyDescent="0.25">
      <c r="B280" s="107"/>
      <c r="C280" s="113"/>
      <c r="D280" s="53"/>
      <c r="E280" s="57"/>
    </row>
    <row r="281" spans="2:6" x14ac:dyDescent="0.25">
      <c r="B281" s="107"/>
      <c r="C281" s="113"/>
      <c r="D281" s="53"/>
      <c r="E281" s="57"/>
    </row>
    <row r="282" spans="2:6" x14ac:dyDescent="0.25">
      <c r="B282" s="108"/>
      <c r="C282" s="114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106" t="s">
        <v>68</v>
      </c>
      <c r="D285" s="44" t="s">
        <v>8</v>
      </c>
      <c r="E285" s="24">
        <f>E265</f>
        <v>3000</v>
      </c>
    </row>
    <row r="286" spans="2:6" x14ac:dyDescent="0.25">
      <c r="C286" s="107"/>
      <c r="D286" s="44" t="s">
        <v>11</v>
      </c>
      <c r="E286" s="24">
        <f>E274</f>
        <v>2744</v>
      </c>
    </row>
    <row r="287" spans="2:6" x14ac:dyDescent="0.25">
      <c r="C287" s="108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121" t="s">
        <v>69</v>
      </c>
      <c r="C289" s="122"/>
      <c r="D289" s="122"/>
      <c r="E289" s="123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103">
        <v>11</v>
      </c>
      <c r="C296" s="112" t="s">
        <v>11</v>
      </c>
      <c r="D296" s="55" t="s">
        <v>12</v>
      </c>
      <c r="E296" s="57">
        <v>1520</v>
      </c>
    </row>
    <row r="297" spans="2:6" x14ac:dyDescent="0.25">
      <c r="B297" s="104"/>
      <c r="C297" s="113"/>
      <c r="D297" s="55" t="s">
        <v>13</v>
      </c>
      <c r="E297" s="57">
        <v>430</v>
      </c>
    </row>
    <row r="298" spans="2:6" x14ac:dyDescent="0.25">
      <c r="B298" s="104"/>
      <c r="C298" s="113"/>
      <c r="D298" s="55" t="s">
        <v>24</v>
      </c>
      <c r="E298" s="57">
        <v>1000</v>
      </c>
    </row>
    <row r="299" spans="2:6" x14ac:dyDescent="0.25">
      <c r="B299" s="104"/>
      <c r="C299" s="113"/>
      <c r="D299" s="55" t="s">
        <v>30</v>
      </c>
      <c r="E299" s="57">
        <v>180</v>
      </c>
      <c r="F299" s="15">
        <f>E299/E285</f>
        <v>0.06</v>
      </c>
    </row>
    <row r="300" spans="2:6" x14ac:dyDescent="0.25">
      <c r="B300" s="104"/>
      <c r="C300" s="113"/>
      <c r="D300" s="53"/>
      <c r="E300" s="57"/>
    </row>
    <row r="301" spans="2:6" x14ac:dyDescent="0.25">
      <c r="B301" s="105"/>
      <c r="C301" s="114"/>
      <c r="D301" s="54"/>
      <c r="E301" s="54"/>
    </row>
    <row r="302" spans="2:6" x14ac:dyDescent="0.25">
      <c r="D302" s="18" t="s">
        <v>71</v>
      </c>
      <c r="E302" s="27">
        <f>SUM(E296:E301)</f>
        <v>3130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103">
        <v>11</v>
      </c>
      <c r="C305" s="112" t="s">
        <v>17</v>
      </c>
      <c r="D305" s="55" t="s">
        <v>18</v>
      </c>
      <c r="E305" s="57">
        <v>15</v>
      </c>
    </row>
    <row r="306" spans="2:6" x14ac:dyDescent="0.25">
      <c r="B306" s="104"/>
      <c r="C306" s="113"/>
      <c r="D306" s="55" t="s">
        <v>19</v>
      </c>
      <c r="E306" s="57">
        <v>50</v>
      </c>
    </row>
    <row r="307" spans="2:6" x14ac:dyDescent="0.25">
      <c r="B307" s="104"/>
      <c r="C307" s="113"/>
      <c r="D307" s="53"/>
      <c r="E307" s="57"/>
    </row>
    <row r="308" spans="2:6" x14ac:dyDescent="0.25">
      <c r="B308" s="104"/>
      <c r="C308" s="113"/>
      <c r="D308" s="53"/>
      <c r="E308" s="57"/>
    </row>
    <row r="309" spans="2:6" x14ac:dyDescent="0.25">
      <c r="B309" s="104"/>
      <c r="C309" s="113"/>
      <c r="D309" s="53"/>
      <c r="E309" s="57"/>
    </row>
    <row r="310" spans="2:6" x14ac:dyDescent="0.25">
      <c r="B310" s="105"/>
      <c r="C310" s="114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103" t="s">
        <v>73</v>
      </c>
      <c r="D313" s="28" t="s">
        <v>8</v>
      </c>
      <c r="E313" s="24">
        <f>E293</f>
        <v>3400</v>
      </c>
    </row>
    <row r="314" spans="2:6" x14ac:dyDescent="0.25">
      <c r="C314" s="104"/>
      <c r="D314" s="28" t="s">
        <v>11</v>
      </c>
      <c r="E314" s="24">
        <f>E302</f>
        <v>3130</v>
      </c>
    </row>
    <row r="315" spans="2:6" x14ac:dyDescent="0.25">
      <c r="C315" s="105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118" t="s">
        <v>74</v>
      </c>
      <c r="C318" s="119"/>
      <c r="D318" s="119"/>
      <c r="E318" s="120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100">
        <v>12</v>
      </c>
      <c r="C325" s="112" t="s">
        <v>11</v>
      </c>
      <c r="D325" s="55" t="s">
        <v>12</v>
      </c>
      <c r="E325" s="57">
        <v>1700</v>
      </c>
    </row>
    <row r="326" spans="2:6" x14ac:dyDescent="0.25">
      <c r="B326" s="101"/>
      <c r="C326" s="113"/>
      <c r="D326" s="55" t="s">
        <v>13</v>
      </c>
      <c r="E326" s="57">
        <v>540</v>
      </c>
    </row>
    <row r="327" spans="2:6" x14ac:dyDescent="0.25">
      <c r="B327" s="101"/>
      <c r="C327" s="113"/>
      <c r="D327" s="55" t="s">
        <v>24</v>
      </c>
      <c r="E327" s="57">
        <v>1300</v>
      </c>
    </row>
    <row r="328" spans="2:6" x14ac:dyDescent="0.25">
      <c r="B328" s="101"/>
      <c r="C328" s="113"/>
      <c r="D328" s="55" t="s">
        <v>30</v>
      </c>
      <c r="E328" s="57">
        <v>204</v>
      </c>
      <c r="F328" s="15">
        <f>E328/E313</f>
        <v>0.06</v>
      </c>
    </row>
    <row r="329" spans="2:6" x14ac:dyDescent="0.25">
      <c r="B329" s="101"/>
      <c r="C329" s="113"/>
      <c r="D329" s="53"/>
      <c r="E329" s="57"/>
    </row>
    <row r="330" spans="2:6" x14ac:dyDescent="0.25">
      <c r="B330" s="102"/>
      <c r="C330" s="114"/>
      <c r="D330" s="54"/>
      <c r="E330" s="58"/>
    </row>
    <row r="331" spans="2:6" x14ac:dyDescent="0.25">
      <c r="D331" s="18" t="s">
        <v>76</v>
      </c>
      <c r="E331" s="27">
        <f>SUM(E325:E330)</f>
        <v>3744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100">
        <v>12</v>
      </c>
      <c r="C334" s="112" t="s">
        <v>17</v>
      </c>
      <c r="D334" s="55" t="s">
        <v>18</v>
      </c>
      <c r="E334" s="57">
        <v>15</v>
      </c>
    </row>
    <row r="335" spans="2:6" x14ac:dyDescent="0.25">
      <c r="B335" s="101"/>
      <c r="C335" s="113"/>
      <c r="D335" s="55" t="s">
        <v>19</v>
      </c>
      <c r="E335" s="57">
        <v>50</v>
      </c>
    </row>
    <row r="336" spans="2:6" x14ac:dyDescent="0.25">
      <c r="B336" s="101"/>
      <c r="C336" s="113"/>
      <c r="D336" s="55" t="s">
        <v>77</v>
      </c>
      <c r="E336" s="57">
        <v>200</v>
      </c>
    </row>
    <row r="337" spans="2:6" x14ac:dyDescent="0.25">
      <c r="B337" s="101"/>
      <c r="C337" s="113"/>
      <c r="D337" s="55"/>
      <c r="E337" s="57"/>
    </row>
    <row r="338" spans="2:6" x14ac:dyDescent="0.25">
      <c r="B338" s="101"/>
      <c r="C338" s="113"/>
      <c r="D338" s="55"/>
      <c r="E338" s="57"/>
    </row>
    <row r="339" spans="2:6" x14ac:dyDescent="0.25">
      <c r="B339" s="102"/>
      <c r="C339" s="114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100" t="s">
        <v>79</v>
      </c>
      <c r="D342" s="32" t="s">
        <v>8</v>
      </c>
      <c r="E342" s="24">
        <f>E322</f>
        <v>4500</v>
      </c>
    </row>
    <row r="343" spans="2:6" x14ac:dyDescent="0.25">
      <c r="C343" s="101"/>
      <c r="D343" s="32" t="s">
        <v>11</v>
      </c>
      <c r="E343" s="24">
        <f>E331</f>
        <v>3744</v>
      </c>
    </row>
    <row r="344" spans="2:6" x14ac:dyDescent="0.25">
      <c r="C344" s="102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115" t="s">
        <v>80</v>
      </c>
      <c r="C346" s="116"/>
      <c r="D346" s="116"/>
      <c r="E346" s="117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97">
        <v>13</v>
      </c>
      <c r="C353" s="112" t="s">
        <v>11</v>
      </c>
      <c r="D353" s="53"/>
      <c r="E353" s="57"/>
    </row>
    <row r="354" spans="2:6" x14ac:dyDescent="0.25">
      <c r="B354" s="98"/>
      <c r="C354" s="113"/>
      <c r="D354" s="53"/>
      <c r="E354" s="57"/>
    </row>
    <row r="355" spans="2:6" x14ac:dyDescent="0.25">
      <c r="B355" s="98"/>
      <c r="C355" s="113"/>
      <c r="D355" s="53"/>
      <c r="E355" s="57"/>
    </row>
    <row r="356" spans="2:6" x14ac:dyDescent="0.25">
      <c r="B356" s="98"/>
      <c r="C356" s="113"/>
      <c r="D356" s="53"/>
      <c r="E356" s="57"/>
    </row>
    <row r="357" spans="2:6" x14ac:dyDescent="0.25">
      <c r="B357" s="98"/>
      <c r="C357" s="113"/>
      <c r="D357" s="53"/>
      <c r="E357" s="57"/>
    </row>
    <row r="358" spans="2:6" x14ac:dyDescent="0.25">
      <c r="B358" s="99"/>
      <c r="C358" s="114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97">
        <v>13</v>
      </c>
      <c r="C362" s="112" t="s">
        <v>17</v>
      </c>
      <c r="D362" s="53"/>
      <c r="E362" s="57"/>
    </row>
    <row r="363" spans="2:6" x14ac:dyDescent="0.25">
      <c r="B363" s="98"/>
      <c r="C363" s="113"/>
      <c r="D363" s="53"/>
      <c r="E363" s="57"/>
    </row>
    <row r="364" spans="2:6" x14ac:dyDescent="0.25">
      <c r="B364" s="98"/>
      <c r="C364" s="113"/>
      <c r="D364" s="53"/>
      <c r="E364" s="57"/>
    </row>
    <row r="365" spans="2:6" x14ac:dyDescent="0.25">
      <c r="B365" s="98"/>
      <c r="C365" s="113"/>
      <c r="D365" s="53"/>
      <c r="E365" s="57"/>
    </row>
    <row r="366" spans="2:6" x14ac:dyDescent="0.25">
      <c r="B366" s="98"/>
      <c r="C366" s="113"/>
      <c r="D366" s="53"/>
      <c r="E366" s="57"/>
    </row>
    <row r="367" spans="2:6" x14ac:dyDescent="0.25">
      <c r="B367" s="99"/>
      <c r="C367" s="114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97" t="s">
        <v>84</v>
      </c>
      <c r="D370" s="38" t="s">
        <v>8</v>
      </c>
      <c r="E370" s="24">
        <f>E350</f>
        <v>0</v>
      </c>
    </row>
    <row r="371" spans="2:6" x14ac:dyDescent="0.25">
      <c r="C371" s="98"/>
      <c r="D371" s="38" t="s">
        <v>11</v>
      </c>
      <c r="E371" s="24">
        <f>E359</f>
        <v>0</v>
      </c>
    </row>
    <row r="372" spans="2:6" x14ac:dyDescent="0.25">
      <c r="C372" s="99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109" t="s">
        <v>85</v>
      </c>
      <c r="C374" s="110"/>
      <c r="D374" s="110"/>
      <c r="E374" s="111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94">
        <v>14</v>
      </c>
      <c r="C381" s="112" t="s">
        <v>11</v>
      </c>
      <c r="D381" s="53"/>
      <c r="E381" s="57"/>
    </row>
    <row r="382" spans="2:6" x14ac:dyDescent="0.25">
      <c r="B382" s="95"/>
      <c r="C382" s="113"/>
      <c r="D382" s="53"/>
      <c r="E382" s="57"/>
    </row>
    <row r="383" spans="2:6" x14ac:dyDescent="0.25">
      <c r="B383" s="95"/>
      <c r="C383" s="113"/>
      <c r="D383" s="53"/>
      <c r="E383" s="57"/>
    </row>
    <row r="384" spans="2:6" x14ac:dyDescent="0.25">
      <c r="B384" s="95"/>
      <c r="C384" s="113"/>
      <c r="D384" s="53"/>
      <c r="E384" s="57"/>
    </row>
    <row r="385" spans="2:6" x14ac:dyDescent="0.25">
      <c r="B385" s="95"/>
      <c r="C385" s="113"/>
      <c r="D385" s="53"/>
      <c r="E385" s="57"/>
    </row>
    <row r="386" spans="2:6" x14ac:dyDescent="0.25">
      <c r="B386" s="96"/>
      <c r="C386" s="114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94">
        <v>14</v>
      </c>
      <c r="C390" s="112" t="s">
        <v>17</v>
      </c>
      <c r="D390" s="53"/>
      <c r="E390" s="57"/>
    </row>
    <row r="391" spans="2:6" x14ac:dyDescent="0.25">
      <c r="B391" s="95"/>
      <c r="C391" s="113"/>
      <c r="D391" s="53"/>
      <c r="E391" s="57"/>
    </row>
    <row r="392" spans="2:6" x14ac:dyDescent="0.25">
      <c r="B392" s="95"/>
      <c r="C392" s="113"/>
      <c r="D392" s="53"/>
      <c r="E392" s="57"/>
    </row>
    <row r="393" spans="2:6" x14ac:dyDescent="0.25">
      <c r="B393" s="95"/>
      <c r="C393" s="113"/>
      <c r="D393" s="53"/>
      <c r="E393" s="57"/>
    </row>
    <row r="394" spans="2:6" x14ac:dyDescent="0.25">
      <c r="B394" s="95"/>
      <c r="C394" s="113"/>
      <c r="D394" s="53"/>
      <c r="E394" s="57"/>
    </row>
    <row r="395" spans="2:6" x14ac:dyDescent="0.25">
      <c r="B395" s="96"/>
      <c r="C395" s="114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94" t="s">
        <v>89</v>
      </c>
      <c r="D398" s="41" t="s">
        <v>8</v>
      </c>
      <c r="E398" s="24">
        <f>E378</f>
        <v>0</v>
      </c>
    </row>
    <row r="399" spans="2:6" x14ac:dyDescent="0.25">
      <c r="C399" s="95"/>
      <c r="D399" s="41" t="s">
        <v>11</v>
      </c>
      <c r="E399" s="24">
        <f>E387</f>
        <v>0</v>
      </c>
    </row>
    <row r="400" spans="2:6" x14ac:dyDescent="0.25">
      <c r="C400" s="96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24" t="s">
        <v>90</v>
      </c>
      <c r="C402" s="125"/>
      <c r="D402" s="125"/>
      <c r="E402" s="126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106">
        <v>15</v>
      </c>
      <c r="C409" s="112" t="s">
        <v>11</v>
      </c>
      <c r="D409" s="53"/>
      <c r="E409" s="57"/>
    </row>
    <row r="410" spans="2:6" x14ac:dyDescent="0.25">
      <c r="B410" s="107"/>
      <c r="C410" s="113"/>
      <c r="D410" s="53"/>
      <c r="E410" s="57"/>
    </row>
    <row r="411" spans="2:6" x14ac:dyDescent="0.25">
      <c r="B411" s="107"/>
      <c r="C411" s="113"/>
      <c r="D411" s="53"/>
      <c r="E411" s="57"/>
    </row>
    <row r="412" spans="2:6" x14ac:dyDescent="0.25">
      <c r="B412" s="107"/>
      <c r="C412" s="113"/>
      <c r="D412" s="53"/>
      <c r="E412" s="57"/>
    </row>
    <row r="413" spans="2:6" x14ac:dyDescent="0.25">
      <c r="B413" s="107"/>
      <c r="C413" s="113"/>
      <c r="D413" s="53"/>
      <c r="E413" s="57"/>
    </row>
    <row r="414" spans="2:6" x14ac:dyDescent="0.25">
      <c r="B414" s="108"/>
      <c r="C414" s="114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106">
        <v>15</v>
      </c>
      <c r="C418" s="112" t="s">
        <v>17</v>
      </c>
      <c r="D418" s="53"/>
      <c r="E418" s="57"/>
    </row>
    <row r="419" spans="2:6" x14ac:dyDescent="0.25">
      <c r="B419" s="107"/>
      <c r="C419" s="113"/>
      <c r="D419" s="53"/>
      <c r="E419" s="57"/>
    </row>
    <row r="420" spans="2:6" x14ac:dyDescent="0.25">
      <c r="B420" s="107"/>
      <c r="C420" s="113"/>
      <c r="D420" s="53"/>
      <c r="E420" s="57"/>
    </row>
    <row r="421" spans="2:6" x14ac:dyDescent="0.25">
      <c r="B421" s="107"/>
      <c r="C421" s="113"/>
      <c r="D421" s="53"/>
      <c r="E421" s="57"/>
    </row>
    <row r="422" spans="2:6" x14ac:dyDescent="0.25">
      <c r="B422" s="107"/>
      <c r="C422" s="113"/>
      <c r="D422" s="53"/>
      <c r="E422" s="57"/>
    </row>
    <row r="423" spans="2:6" x14ac:dyDescent="0.25">
      <c r="B423" s="108"/>
      <c r="C423" s="114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106" t="s">
        <v>94</v>
      </c>
      <c r="D426" s="44" t="s">
        <v>8</v>
      </c>
      <c r="E426" s="24">
        <f>E406</f>
        <v>0</v>
      </c>
    </row>
    <row r="427" spans="2:6" x14ac:dyDescent="0.25">
      <c r="C427" s="107"/>
      <c r="D427" s="44" t="s">
        <v>11</v>
      </c>
      <c r="E427" s="24">
        <f>E415</f>
        <v>0</v>
      </c>
    </row>
    <row r="428" spans="2:6" x14ac:dyDescent="0.25">
      <c r="C428" s="108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121" t="s">
        <v>95</v>
      </c>
      <c r="C430" s="122"/>
      <c r="D430" s="122"/>
      <c r="E430" s="123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103">
        <v>16</v>
      </c>
      <c r="C437" s="112" t="s">
        <v>11</v>
      </c>
      <c r="D437" s="53"/>
      <c r="E437" s="57"/>
    </row>
    <row r="438" spans="2:6" x14ac:dyDescent="0.25">
      <c r="B438" s="104"/>
      <c r="C438" s="113"/>
      <c r="D438" s="53"/>
      <c r="E438" s="57"/>
    </row>
    <row r="439" spans="2:6" x14ac:dyDescent="0.25">
      <c r="B439" s="104"/>
      <c r="C439" s="113"/>
      <c r="D439" s="53"/>
      <c r="E439" s="57"/>
    </row>
    <row r="440" spans="2:6" x14ac:dyDescent="0.25">
      <c r="B440" s="104"/>
      <c r="C440" s="113"/>
      <c r="D440" s="53"/>
      <c r="E440" s="57"/>
    </row>
    <row r="441" spans="2:6" x14ac:dyDescent="0.25">
      <c r="B441" s="104"/>
      <c r="C441" s="113"/>
      <c r="D441" s="53"/>
      <c r="E441" s="57"/>
    </row>
    <row r="442" spans="2:6" x14ac:dyDescent="0.25">
      <c r="B442" s="105"/>
      <c r="C442" s="114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103">
        <v>16</v>
      </c>
      <c r="C446" s="112" t="s">
        <v>17</v>
      </c>
      <c r="D446" s="53"/>
      <c r="E446" s="57"/>
    </row>
    <row r="447" spans="2:6" x14ac:dyDescent="0.25">
      <c r="B447" s="104"/>
      <c r="C447" s="113"/>
      <c r="D447" s="53"/>
      <c r="E447" s="57"/>
    </row>
    <row r="448" spans="2:6" x14ac:dyDescent="0.25">
      <c r="B448" s="104"/>
      <c r="C448" s="113"/>
      <c r="D448" s="53"/>
      <c r="E448" s="57"/>
    </row>
    <row r="449" spans="2:6" x14ac:dyDescent="0.25">
      <c r="B449" s="104"/>
      <c r="C449" s="113"/>
      <c r="D449" s="53"/>
      <c r="E449" s="57"/>
    </row>
    <row r="450" spans="2:6" x14ac:dyDescent="0.25">
      <c r="B450" s="104"/>
      <c r="C450" s="113"/>
      <c r="D450" s="53"/>
      <c r="E450" s="57"/>
    </row>
    <row r="451" spans="2:6" x14ac:dyDescent="0.25">
      <c r="B451" s="105"/>
      <c r="C451" s="114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103" t="s">
        <v>99</v>
      </c>
      <c r="D454" s="28" t="s">
        <v>8</v>
      </c>
      <c r="E454" s="24">
        <f>E434</f>
        <v>0</v>
      </c>
    </row>
    <row r="455" spans="2:6" x14ac:dyDescent="0.25">
      <c r="C455" s="104"/>
      <c r="D455" s="28" t="s">
        <v>11</v>
      </c>
      <c r="E455" s="24">
        <f>E443</f>
        <v>0</v>
      </c>
    </row>
    <row r="456" spans="2:6" x14ac:dyDescent="0.25">
      <c r="C456" s="105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118" t="s">
        <v>100</v>
      </c>
      <c r="C459" s="119"/>
      <c r="D459" s="119"/>
      <c r="E459" s="120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100">
        <v>17</v>
      </c>
      <c r="C466" s="112" t="s">
        <v>11</v>
      </c>
      <c r="D466" s="53"/>
      <c r="E466" s="57"/>
    </row>
    <row r="467" spans="2:6" x14ac:dyDescent="0.25">
      <c r="B467" s="101"/>
      <c r="C467" s="113"/>
      <c r="D467" s="53"/>
      <c r="E467" s="57"/>
    </row>
    <row r="468" spans="2:6" x14ac:dyDescent="0.25">
      <c r="B468" s="101"/>
      <c r="C468" s="113"/>
      <c r="D468" s="53"/>
      <c r="E468" s="57"/>
    </row>
    <row r="469" spans="2:6" x14ac:dyDescent="0.25">
      <c r="B469" s="101"/>
      <c r="C469" s="113"/>
      <c r="D469" s="53"/>
      <c r="E469" s="57"/>
    </row>
    <row r="470" spans="2:6" x14ac:dyDescent="0.25">
      <c r="B470" s="101"/>
      <c r="C470" s="113"/>
      <c r="D470" s="53"/>
      <c r="E470" s="57"/>
    </row>
    <row r="471" spans="2:6" x14ac:dyDescent="0.25">
      <c r="B471" s="102"/>
      <c r="C471" s="114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100">
        <v>17</v>
      </c>
      <c r="C475" s="112" t="s">
        <v>17</v>
      </c>
      <c r="D475" s="53"/>
      <c r="E475" s="57"/>
    </row>
    <row r="476" spans="2:6" x14ac:dyDescent="0.25">
      <c r="B476" s="101"/>
      <c r="C476" s="113"/>
      <c r="D476" s="53"/>
      <c r="E476" s="57"/>
    </row>
    <row r="477" spans="2:6" x14ac:dyDescent="0.25">
      <c r="B477" s="101"/>
      <c r="C477" s="113"/>
      <c r="D477" s="53"/>
      <c r="E477" s="57"/>
    </row>
    <row r="478" spans="2:6" x14ac:dyDescent="0.25">
      <c r="B478" s="101"/>
      <c r="C478" s="113"/>
      <c r="D478" s="53"/>
      <c r="E478" s="57"/>
    </row>
    <row r="479" spans="2:6" x14ac:dyDescent="0.25">
      <c r="B479" s="101"/>
      <c r="C479" s="113"/>
      <c r="D479" s="53"/>
      <c r="E479" s="57"/>
    </row>
    <row r="480" spans="2:6" x14ac:dyDescent="0.25">
      <c r="B480" s="102"/>
      <c r="C480" s="114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100" t="s">
        <v>104</v>
      </c>
      <c r="D483" s="32" t="s">
        <v>8</v>
      </c>
      <c r="E483" s="24">
        <f>E463</f>
        <v>0</v>
      </c>
    </row>
    <row r="484" spans="2:6" x14ac:dyDescent="0.25">
      <c r="C484" s="101"/>
      <c r="D484" s="32" t="s">
        <v>11</v>
      </c>
      <c r="E484" s="24">
        <f>E472</f>
        <v>0</v>
      </c>
    </row>
    <row r="485" spans="2:6" x14ac:dyDescent="0.25">
      <c r="C485" s="102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115" t="s">
        <v>105</v>
      </c>
      <c r="C487" s="116"/>
      <c r="D487" s="116"/>
      <c r="E487" s="117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97">
        <v>18</v>
      </c>
      <c r="C494" s="112" t="s">
        <v>11</v>
      </c>
      <c r="D494" s="53"/>
      <c r="E494" s="57"/>
    </row>
    <row r="495" spans="2:6" x14ac:dyDescent="0.25">
      <c r="B495" s="98"/>
      <c r="C495" s="113"/>
      <c r="D495" s="53"/>
      <c r="E495" s="57"/>
    </row>
    <row r="496" spans="2:6" x14ac:dyDescent="0.25">
      <c r="B496" s="98"/>
      <c r="C496" s="113"/>
      <c r="D496" s="53"/>
      <c r="E496" s="57"/>
    </row>
    <row r="497" spans="2:6" x14ac:dyDescent="0.25">
      <c r="B497" s="98"/>
      <c r="C497" s="113"/>
      <c r="D497" s="53"/>
      <c r="E497" s="57"/>
    </row>
    <row r="498" spans="2:6" x14ac:dyDescent="0.25">
      <c r="B498" s="98"/>
      <c r="C498" s="113"/>
      <c r="D498" s="53"/>
      <c r="E498" s="57"/>
    </row>
    <row r="499" spans="2:6" x14ac:dyDescent="0.25">
      <c r="B499" s="99"/>
      <c r="C499" s="114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97">
        <v>18</v>
      </c>
      <c r="C503" s="112" t="s">
        <v>17</v>
      </c>
      <c r="D503" s="53"/>
      <c r="E503" s="57"/>
    </row>
    <row r="504" spans="2:6" x14ac:dyDescent="0.25">
      <c r="B504" s="98"/>
      <c r="C504" s="113"/>
      <c r="D504" s="53"/>
      <c r="E504" s="57"/>
    </row>
    <row r="505" spans="2:6" x14ac:dyDescent="0.25">
      <c r="B505" s="98"/>
      <c r="C505" s="113"/>
      <c r="D505" s="53"/>
      <c r="E505" s="57"/>
    </row>
    <row r="506" spans="2:6" x14ac:dyDescent="0.25">
      <c r="B506" s="98"/>
      <c r="C506" s="113"/>
      <c r="D506" s="53"/>
      <c r="E506" s="57"/>
    </row>
    <row r="507" spans="2:6" x14ac:dyDescent="0.25">
      <c r="B507" s="98"/>
      <c r="C507" s="113"/>
      <c r="D507" s="53"/>
      <c r="E507" s="57"/>
    </row>
    <row r="508" spans="2:6" x14ac:dyDescent="0.25">
      <c r="B508" s="99"/>
      <c r="C508" s="114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97" t="s">
        <v>109</v>
      </c>
      <c r="D511" s="38" t="s">
        <v>8</v>
      </c>
      <c r="E511" s="24">
        <f>E491</f>
        <v>0</v>
      </c>
    </row>
    <row r="512" spans="2:6" x14ac:dyDescent="0.25">
      <c r="C512" s="98"/>
      <c r="D512" s="38" t="s">
        <v>11</v>
      </c>
      <c r="E512" s="24">
        <f>E500</f>
        <v>0</v>
      </c>
    </row>
    <row r="513" spans="2:6" x14ac:dyDescent="0.25">
      <c r="C513" s="99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109" t="s">
        <v>110</v>
      </c>
      <c r="C515" s="110"/>
      <c r="D515" s="110"/>
      <c r="E515" s="111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94">
        <v>19</v>
      </c>
      <c r="C522" s="112" t="s">
        <v>11</v>
      </c>
      <c r="D522" s="53"/>
      <c r="E522" s="57"/>
    </row>
    <row r="523" spans="2:6" x14ac:dyDescent="0.25">
      <c r="B523" s="95"/>
      <c r="C523" s="113"/>
      <c r="D523" s="53"/>
      <c r="E523" s="57"/>
    </row>
    <row r="524" spans="2:6" x14ac:dyDescent="0.25">
      <c r="B524" s="95"/>
      <c r="C524" s="113"/>
      <c r="D524" s="53"/>
      <c r="E524" s="57"/>
    </row>
    <row r="525" spans="2:6" x14ac:dyDescent="0.25">
      <c r="B525" s="95"/>
      <c r="C525" s="113"/>
      <c r="D525" s="53"/>
      <c r="E525" s="57"/>
    </row>
    <row r="526" spans="2:6" x14ac:dyDescent="0.25">
      <c r="B526" s="95"/>
      <c r="C526" s="113"/>
      <c r="D526" s="53"/>
      <c r="E526" s="57"/>
    </row>
    <row r="527" spans="2:6" x14ac:dyDescent="0.25">
      <c r="B527" s="96"/>
      <c r="C527" s="114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94">
        <v>19</v>
      </c>
      <c r="C531" s="112" t="s">
        <v>17</v>
      </c>
      <c r="D531" s="53"/>
      <c r="E531" s="57"/>
    </row>
    <row r="532" spans="2:6" x14ac:dyDescent="0.25">
      <c r="B532" s="95"/>
      <c r="C532" s="113"/>
      <c r="D532" s="53"/>
      <c r="E532" s="57"/>
    </row>
    <row r="533" spans="2:6" x14ac:dyDescent="0.25">
      <c r="B533" s="95"/>
      <c r="C533" s="113"/>
      <c r="D533" s="53"/>
      <c r="E533" s="57"/>
    </row>
    <row r="534" spans="2:6" x14ac:dyDescent="0.25">
      <c r="B534" s="95"/>
      <c r="C534" s="113"/>
      <c r="D534" s="53"/>
      <c r="E534" s="57"/>
    </row>
    <row r="535" spans="2:6" x14ac:dyDescent="0.25">
      <c r="B535" s="95"/>
      <c r="C535" s="113"/>
      <c r="D535" s="53"/>
      <c r="E535" s="57"/>
    </row>
    <row r="536" spans="2:6" x14ac:dyDescent="0.25">
      <c r="B536" s="96"/>
      <c r="C536" s="114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94" t="s">
        <v>114</v>
      </c>
      <c r="D539" s="41" t="s">
        <v>8</v>
      </c>
      <c r="E539" s="24">
        <f>E519</f>
        <v>0</v>
      </c>
    </row>
    <row r="540" spans="2:6" x14ac:dyDescent="0.25">
      <c r="C540" s="95"/>
      <c r="D540" s="41" t="s">
        <v>11</v>
      </c>
      <c r="E540" s="24">
        <f>E528</f>
        <v>0</v>
      </c>
    </row>
    <row r="541" spans="2:6" x14ac:dyDescent="0.25">
      <c r="C541" s="96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24" t="s">
        <v>115</v>
      </c>
      <c r="C543" s="125"/>
      <c r="D543" s="125"/>
      <c r="E543" s="126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106">
        <v>20</v>
      </c>
      <c r="C550" s="112" t="s">
        <v>11</v>
      </c>
      <c r="D550" s="53"/>
      <c r="E550" s="57"/>
    </row>
    <row r="551" spans="2:6" x14ac:dyDescent="0.25">
      <c r="B551" s="107"/>
      <c r="C551" s="113"/>
      <c r="D551" s="53"/>
      <c r="E551" s="57"/>
    </row>
    <row r="552" spans="2:6" x14ac:dyDescent="0.25">
      <c r="B552" s="107"/>
      <c r="C552" s="113"/>
      <c r="D552" s="53"/>
      <c r="E552" s="57"/>
    </row>
    <row r="553" spans="2:6" x14ac:dyDescent="0.25">
      <c r="B553" s="107"/>
      <c r="C553" s="113"/>
      <c r="D553" s="53"/>
      <c r="E553" s="57"/>
    </row>
    <row r="554" spans="2:6" x14ac:dyDescent="0.25">
      <c r="B554" s="107"/>
      <c r="C554" s="113"/>
      <c r="D554" s="53"/>
      <c r="E554" s="57"/>
    </row>
    <row r="555" spans="2:6" x14ac:dyDescent="0.25">
      <c r="B555" s="108"/>
      <c r="C555" s="114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106">
        <v>20</v>
      </c>
      <c r="C559" s="112" t="s">
        <v>17</v>
      </c>
      <c r="D559" s="53"/>
      <c r="E559" s="57"/>
    </row>
    <row r="560" spans="2:6" x14ac:dyDescent="0.25">
      <c r="B560" s="107"/>
      <c r="C560" s="113"/>
      <c r="D560" s="53"/>
      <c r="E560" s="57"/>
    </row>
    <row r="561" spans="2:6" x14ac:dyDescent="0.25">
      <c r="B561" s="107"/>
      <c r="C561" s="113"/>
      <c r="D561" s="53"/>
      <c r="E561" s="57"/>
    </row>
    <row r="562" spans="2:6" x14ac:dyDescent="0.25">
      <c r="B562" s="107"/>
      <c r="C562" s="113"/>
      <c r="D562" s="53"/>
      <c r="E562" s="57"/>
    </row>
    <row r="563" spans="2:6" x14ac:dyDescent="0.25">
      <c r="B563" s="107"/>
      <c r="C563" s="113"/>
      <c r="D563" s="53"/>
      <c r="E563" s="57"/>
    </row>
    <row r="564" spans="2:6" x14ac:dyDescent="0.25">
      <c r="B564" s="108"/>
      <c r="C564" s="114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106" t="s">
        <v>119</v>
      </c>
      <c r="D567" s="44" t="s">
        <v>8</v>
      </c>
      <c r="E567" s="24">
        <f>E547</f>
        <v>0</v>
      </c>
    </row>
    <row r="568" spans="2:6" x14ac:dyDescent="0.25">
      <c r="C568" s="107"/>
      <c r="D568" s="44" t="s">
        <v>11</v>
      </c>
      <c r="E568" s="24">
        <f>E556</f>
        <v>0</v>
      </c>
    </row>
    <row r="569" spans="2:6" x14ac:dyDescent="0.25">
      <c r="C569" s="108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121" t="s">
        <v>120</v>
      </c>
      <c r="C571" s="122"/>
      <c r="D571" s="122"/>
      <c r="E571" s="123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103">
        <v>21</v>
      </c>
      <c r="C578" s="112" t="s">
        <v>11</v>
      </c>
      <c r="D578" s="53"/>
      <c r="E578" s="57"/>
    </row>
    <row r="579" spans="2:6" x14ac:dyDescent="0.25">
      <c r="B579" s="104"/>
      <c r="C579" s="113"/>
      <c r="D579" s="53"/>
      <c r="E579" s="57"/>
    </row>
    <row r="580" spans="2:6" x14ac:dyDescent="0.25">
      <c r="B580" s="104"/>
      <c r="C580" s="113"/>
      <c r="D580" s="53"/>
      <c r="E580" s="57"/>
    </row>
    <row r="581" spans="2:6" x14ac:dyDescent="0.25">
      <c r="B581" s="104"/>
      <c r="C581" s="113"/>
      <c r="D581" s="53"/>
      <c r="E581" s="57"/>
    </row>
    <row r="582" spans="2:6" x14ac:dyDescent="0.25">
      <c r="B582" s="104"/>
      <c r="C582" s="113"/>
      <c r="D582" s="53"/>
      <c r="E582" s="57"/>
    </row>
    <row r="583" spans="2:6" x14ac:dyDescent="0.25">
      <c r="B583" s="105"/>
      <c r="C583" s="114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103">
        <v>21</v>
      </c>
      <c r="C587" s="112" t="s">
        <v>17</v>
      </c>
      <c r="D587" s="53"/>
      <c r="E587" s="57"/>
    </row>
    <row r="588" spans="2:6" x14ac:dyDescent="0.25">
      <c r="B588" s="104"/>
      <c r="C588" s="113"/>
      <c r="D588" s="53"/>
      <c r="E588" s="57"/>
    </row>
    <row r="589" spans="2:6" x14ac:dyDescent="0.25">
      <c r="B589" s="104"/>
      <c r="C589" s="113"/>
      <c r="D589" s="53"/>
      <c r="E589" s="57"/>
    </row>
    <row r="590" spans="2:6" x14ac:dyDescent="0.25">
      <c r="B590" s="104"/>
      <c r="C590" s="113"/>
      <c r="D590" s="53"/>
      <c r="E590" s="57"/>
    </row>
    <row r="591" spans="2:6" x14ac:dyDescent="0.25">
      <c r="B591" s="104"/>
      <c r="C591" s="113"/>
      <c r="D591" s="53"/>
      <c r="E591" s="57"/>
    </row>
    <row r="592" spans="2:6" x14ac:dyDescent="0.25">
      <c r="B592" s="105"/>
      <c r="C592" s="114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103" t="s">
        <v>124</v>
      </c>
      <c r="D595" s="28" t="s">
        <v>8</v>
      </c>
      <c r="E595" s="24">
        <f>E575</f>
        <v>0</v>
      </c>
    </row>
    <row r="596" spans="2:6" x14ac:dyDescent="0.25">
      <c r="C596" s="104"/>
      <c r="D596" s="28" t="s">
        <v>11</v>
      </c>
      <c r="E596" s="24">
        <f>E584</f>
        <v>0</v>
      </c>
    </row>
    <row r="597" spans="2:6" x14ac:dyDescent="0.25">
      <c r="C597" s="105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118" t="s">
        <v>125</v>
      </c>
      <c r="C600" s="119"/>
      <c r="D600" s="119"/>
      <c r="E600" s="120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100">
        <v>22</v>
      </c>
      <c r="C607" s="112" t="s">
        <v>11</v>
      </c>
      <c r="D607" s="53"/>
      <c r="E607" s="57"/>
    </row>
    <row r="608" spans="2:6" x14ac:dyDescent="0.25">
      <c r="B608" s="101"/>
      <c r="C608" s="113"/>
      <c r="D608" s="53"/>
      <c r="E608" s="57"/>
    </row>
    <row r="609" spans="2:6" x14ac:dyDescent="0.25">
      <c r="B609" s="101"/>
      <c r="C609" s="113"/>
      <c r="D609" s="53"/>
      <c r="E609" s="57"/>
    </row>
    <row r="610" spans="2:6" x14ac:dyDescent="0.25">
      <c r="B610" s="101"/>
      <c r="C610" s="113"/>
      <c r="D610" s="53"/>
      <c r="E610" s="57"/>
    </row>
    <row r="611" spans="2:6" x14ac:dyDescent="0.25">
      <c r="B611" s="101"/>
      <c r="C611" s="113"/>
      <c r="D611" s="53"/>
      <c r="E611" s="57"/>
    </row>
    <row r="612" spans="2:6" x14ac:dyDescent="0.25">
      <c r="B612" s="102"/>
      <c r="C612" s="114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100">
        <v>22</v>
      </c>
      <c r="C616" s="112" t="s">
        <v>17</v>
      </c>
      <c r="D616" s="53"/>
      <c r="E616" s="57"/>
    </row>
    <row r="617" spans="2:6" x14ac:dyDescent="0.25">
      <c r="B617" s="101"/>
      <c r="C617" s="113"/>
      <c r="D617" s="53"/>
      <c r="E617" s="57"/>
    </row>
    <row r="618" spans="2:6" x14ac:dyDescent="0.25">
      <c r="B618" s="101"/>
      <c r="C618" s="113"/>
      <c r="D618" s="53"/>
      <c r="E618" s="57"/>
    </row>
    <row r="619" spans="2:6" x14ac:dyDescent="0.25">
      <c r="B619" s="101"/>
      <c r="C619" s="113"/>
      <c r="D619" s="53"/>
      <c r="E619" s="57"/>
    </row>
    <row r="620" spans="2:6" x14ac:dyDescent="0.25">
      <c r="B620" s="101"/>
      <c r="C620" s="113"/>
      <c r="D620" s="53"/>
      <c r="E620" s="57"/>
    </row>
    <row r="621" spans="2:6" x14ac:dyDescent="0.25">
      <c r="B621" s="102"/>
      <c r="C621" s="114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100" t="s">
        <v>129</v>
      </c>
      <c r="D624" s="32" t="s">
        <v>8</v>
      </c>
      <c r="E624" s="24">
        <f>E604</f>
        <v>0</v>
      </c>
    </row>
    <row r="625" spans="2:6" x14ac:dyDescent="0.25">
      <c r="C625" s="101"/>
      <c r="D625" s="32" t="s">
        <v>11</v>
      </c>
      <c r="E625" s="24">
        <f>E613</f>
        <v>0</v>
      </c>
    </row>
    <row r="626" spans="2:6" x14ac:dyDescent="0.25">
      <c r="C626" s="102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115" t="s">
        <v>130</v>
      </c>
      <c r="C628" s="116"/>
      <c r="D628" s="116"/>
      <c r="E628" s="117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97">
        <v>23</v>
      </c>
      <c r="C635" s="112" t="s">
        <v>11</v>
      </c>
      <c r="D635" s="53"/>
      <c r="E635" s="57"/>
    </row>
    <row r="636" spans="2:6" x14ac:dyDescent="0.25">
      <c r="B636" s="98"/>
      <c r="C636" s="113"/>
      <c r="D636" s="53"/>
      <c r="E636" s="57"/>
    </row>
    <row r="637" spans="2:6" x14ac:dyDescent="0.25">
      <c r="B637" s="98"/>
      <c r="C637" s="113"/>
      <c r="D637" s="53"/>
      <c r="E637" s="57"/>
    </row>
    <row r="638" spans="2:6" x14ac:dyDescent="0.25">
      <c r="B638" s="98"/>
      <c r="C638" s="113"/>
      <c r="D638" s="53"/>
      <c r="E638" s="57"/>
    </row>
    <row r="639" spans="2:6" x14ac:dyDescent="0.25">
      <c r="B639" s="98"/>
      <c r="C639" s="113"/>
      <c r="D639" s="53"/>
      <c r="E639" s="57"/>
    </row>
    <row r="640" spans="2:6" x14ac:dyDescent="0.25">
      <c r="B640" s="99"/>
      <c r="C640" s="114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97">
        <v>23</v>
      </c>
      <c r="C644" s="112" t="s">
        <v>17</v>
      </c>
      <c r="D644" s="53"/>
      <c r="E644" s="57"/>
    </row>
    <row r="645" spans="2:6" x14ac:dyDescent="0.25">
      <c r="B645" s="98"/>
      <c r="C645" s="113"/>
      <c r="D645" s="53"/>
      <c r="E645" s="57"/>
    </row>
    <row r="646" spans="2:6" x14ac:dyDescent="0.25">
      <c r="B646" s="98"/>
      <c r="C646" s="113"/>
      <c r="D646" s="53"/>
      <c r="E646" s="57"/>
    </row>
    <row r="647" spans="2:6" x14ac:dyDescent="0.25">
      <c r="B647" s="98"/>
      <c r="C647" s="113"/>
      <c r="D647" s="53"/>
      <c r="E647" s="57"/>
    </row>
    <row r="648" spans="2:6" x14ac:dyDescent="0.25">
      <c r="B648" s="98"/>
      <c r="C648" s="113"/>
      <c r="D648" s="53"/>
      <c r="E648" s="57"/>
    </row>
    <row r="649" spans="2:6" x14ac:dyDescent="0.25">
      <c r="B649" s="99"/>
      <c r="C649" s="114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97" t="s">
        <v>134</v>
      </c>
      <c r="D652" s="38" t="s">
        <v>8</v>
      </c>
      <c r="E652" s="24">
        <f>E632</f>
        <v>0</v>
      </c>
    </row>
    <row r="653" spans="2:6" x14ac:dyDescent="0.25">
      <c r="C653" s="98"/>
      <c r="D653" s="38" t="s">
        <v>11</v>
      </c>
      <c r="E653" s="24">
        <f>E641</f>
        <v>0</v>
      </c>
    </row>
    <row r="654" spans="2:6" x14ac:dyDescent="0.25">
      <c r="C654" s="99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109" t="s">
        <v>135</v>
      </c>
      <c r="C656" s="110"/>
      <c r="D656" s="110"/>
      <c r="E656" s="111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94">
        <v>24</v>
      </c>
      <c r="C663" s="112" t="s">
        <v>11</v>
      </c>
      <c r="D663" s="53"/>
      <c r="E663" s="57"/>
    </row>
    <row r="664" spans="2:6" x14ac:dyDescent="0.25">
      <c r="B664" s="95"/>
      <c r="C664" s="113"/>
      <c r="D664" s="53"/>
      <c r="E664" s="57"/>
    </row>
    <row r="665" spans="2:6" x14ac:dyDescent="0.25">
      <c r="B665" s="95"/>
      <c r="C665" s="113"/>
      <c r="D665" s="53"/>
      <c r="E665" s="57"/>
    </row>
    <row r="666" spans="2:6" x14ac:dyDescent="0.25">
      <c r="B666" s="95"/>
      <c r="C666" s="113"/>
      <c r="D666" s="53"/>
      <c r="E666" s="57"/>
    </row>
    <row r="667" spans="2:6" x14ac:dyDescent="0.25">
      <c r="B667" s="95"/>
      <c r="C667" s="113"/>
      <c r="D667" s="53"/>
      <c r="E667" s="57"/>
    </row>
    <row r="668" spans="2:6" x14ac:dyDescent="0.25">
      <c r="B668" s="96"/>
      <c r="C668" s="114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94">
        <v>24</v>
      </c>
      <c r="C672" s="112" t="s">
        <v>17</v>
      </c>
      <c r="D672" s="53"/>
      <c r="E672" s="57"/>
    </row>
    <row r="673" spans="2:6" x14ac:dyDescent="0.25">
      <c r="B673" s="95"/>
      <c r="C673" s="113"/>
      <c r="D673" s="53"/>
      <c r="E673" s="57"/>
    </row>
    <row r="674" spans="2:6" x14ac:dyDescent="0.25">
      <c r="B674" s="95"/>
      <c r="C674" s="113"/>
      <c r="D674" s="53"/>
      <c r="E674" s="57"/>
    </row>
    <row r="675" spans="2:6" x14ac:dyDescent="0.25">
      <c r="B675" s="95"/>
      <c r="C675" s="113"/>
      <c r="D675" s="53"/>
      <c r="E675" s="57"/>
    </row>
    <row r="676" spans="2:6" x14ac:dyDescent="0.25">
      <c r="B676" s="95"/>
      <c r="C676" s="113"/>
      <c r="D676" s="53"/>
      <c r="E676" s="57"/>
    </row>
    <row r="677" spans="2:6" x14ac:dyDescent="0.25">
      <c r="B677" s="96"/>
      <c r="C677" s="114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94" t="s">
        <v>139</v>
      </c>
      <c r="D680" s="41" t="s">
        <v>8</v>
      </c>
      <c r="E680" s="24">
        <f>E660</f>
        <v>0</v>
      </c>
    </row>
    <row r="681" spans="2:6" x14ac:dyDescent="0.25">
      <c r="C681" s="95"/>
      <c r="D681" s="41" t="s">
        <v>11</v>
      </c>
      <c r="E681" s="24">
        <f>E669</f>
        <v>0</v>
      </c>
    </row>
    <row r="682" spans="2:6" x14ac:dyDescent="0.25">
      <c r="C682" s="96"/>
      <c r="D682" s="41" t="s">
        <v>17</v>
      </c>
      <c r="E682" s="24">
        <f>E678</f>
        <v>0</v>
      </c>
    </row>
  </sheetData>
  <mergeCells count="144"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P31"/>
  <sheetViews>
    <sheetView showGridLines="0" workbookViewId="0">
      <selection activeCell="J23" sqref="J23"/>
    </sheetView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494</v>
      </c>
      <c r="E10" s="16">
        <f>'Fluxo de caixa'!E90</f>
        <v>65</v>
      </c>
      <c r="F10" s="14">
        <f t="shared" si="0"/>
        <v>-59</v>
      </c>
      <c r="G10" s="14">
        <f t="shared" si="1"/>
        <v>-499</v>
      </c>
      <c r="H10" s="62"/>
      <c r="I10" s="14">
        <f t="shared" si="2"/>
        <v>559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670</v>
      </c>
      <c r="E11" s="16">
        <f>'Fluxo de caixa'!E118</f>
        <v>65</v>
      </c>
      <c r="F11" s="14">
        <f t="shared" si="0"/>
        <v>-35</v>
      </c>
      <c r="G11" s="14">
        <f t="shared" si="1"/>
        <v>-534</v>
      </c>
      <c r="H11" s="62"/>
      <c r="I11" s="14">
        <f t="shared" si="2"/>
        <v>735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931</v>
      </c>
      <c r="E12" s="16">
        <f>'Fluxo de caixa'!E146</f>
        <v>65</v>
      </c>
      <c r="F12" s="14">
        <f t="shared" si="0"/>
        <v>4</v>
      </c>
      <c r="G12" s="14">
        <f t="shared" si="1"/>
        <v>-530</v>
      </c>
      <c r="H12" s="62"/>
      <c r="I12" s="14">
        <f t="shared" si="2"/>
        <v>996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1130</v>
      </c>
      <c r="E13" s="16">
        <f>'Fluxo de caixa'!E174</f>
        <v>65</v>
      </c>
      <c r="F13" s="14">
        <f t="shared" si="0"/>
        <v>105</v>
      </c>
      <c r="G13" s="14">
        <f t="shared" si="1"/>
        <v>-425</v>
      </c>
      <c r="H13" s="62"/>
      <c r="I13" s="14">
        <f t="shared" si="2"/>
        <v>1195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1328</v>
      </c>
      <c r="E14" s="16">
        <f>'Fluxo de caixa'!E203</f>
        <v>65</v>
      </c>
      <c r="F14" s="14">
        <f t="shared" si="0"/>
        <v>107</v>
      </c>
      <c r="G14" s="14">
        <f t="shared" si="1"/>
        <v>-318</v>
      </c>
      <c r="H14" s="62"/>
      <c r="I14" s="14">
        <f t="shared" si="2"/>
        <v>1393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1640</v>
      </c>
      <c r="E15" s="16">
        <f>'Fluxo de caixa'!E231</f>
        <v>65</v>
      </c>
      <c r="F15" s="14">
        <f t="shared" si="0"/>
        <v>295</v>
      </c>
      <c r="G15" s="14">
        <f t="shared" si="1"/>
        <v>-23</v>
      </c>
      <c r="H15" s="62"/>
      <c r="I15" s="14">
        <f t="shared" si="2"/>
        <v>1705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2070</v>
      </c>
      <c r="E16" s="16">
        <f>'Fluxo de caixa'!E259</f>
        <v>65</v>
      </c>
      <c r="F16" s="14">
        <f t="shared" si="0"/>
        <v>265</v>
      </c>
      <c r="G16" s="14">
        <f t="shared" si="1"/>
        <v>242</v>
      </c>
      <c r="H16" s="62"/>
      <c r="I16" s="14">
        <f t="shared" si="2"/>
        <v>2135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2744</v>
      </c>
      <c r="E17" s="16">
        <f>'Fluxo de caixa'!E287</f>
        <v>65</v>
      </c>
      <c r="F17" s="14">
        <f t="shared" si="0"/>
        <v>191</v>
      </c>
      <c r="G17" s="14">
        <f t="shared" si="1"/>
        <v>433</v>
      </c>
      <c r="H17" s="62"/>
      <c r="I17" s="14">
        <f t="shared" si="2"/>
        <v>2809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3130</v>
      </c>
      <c r="E18" s="16">
        <f>'Fluxo de caixa'!E315</f>
        <v>65</v>
      </c>
      <c r="F18" s="14">
        <f t="shared" si="0"/>
        <v>205</v>
      </c>
      <c r="G18" s="14">
        <f t="shared" si="1"/>
        <v>638</v>
      </c>
      <c r="H18" s="62"/>
      <c r="I18" s="14">
        <f t="shared" si="2"/>
        <v>3195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3744</v>
      </c>
      <c r="E19" s="16">
        <f>'Fluxo de caixa'!E344</f>
        <v>265</v>
      </c>
      <c r="F19" s="14">
        <f t="shared" si="0"/>
        <v>491</v>
      </c>
      <c r="G19" s="14">
        <f t="shared" si="1"/>
        <v>1129</v>
      </c>
      <c r="H19" s="62"/>
      <c r="I19" s="14">
        <f t="shared" si="2"/>
        <v>4009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1129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1129</v>
      </c>
      <c r="H21" s="62"/>
      <c r="L21" s="127" t="s">
        <v>145</v>
      </c>
      <c r="M21" s="128"/>
      <c r="N21" s="128"/>
      <c r="O21" s="128"/>
      <c r="P21" s="129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1129</v>
      </c>
      <c r="H22" s="62"/>
      <c r="L22" s="130"/>
      <c r="M22" s="131"/>
      <c r="N22" s="131"/>
      <c r="O22" s="131"/>
      <c r="P22" s="132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1129</v>
      </c>
      <c r="H23" s="62"/>
      <c r="L23" s="133"/>
      <c r="M23" s="134"/>
      <c r="N23" s="134"/>
      <c r="O23" s="134"/>
      <c r="P23" s="135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1129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1129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1129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1129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1129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1129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1129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1129</v>
      </c>
      <c r="H31" s="62"/>
    </row>
  </sheetData>
  <mergeCells count="1">
    <mergeCell ref="L21:P23"/>
  </mergeCells>
  <conditionalFormatting sqref="G8:G31">
    <cfRule type="cellIs" dxfId="38" priority="4" operator="equal">
      <formula>0</formula>
    </cfRule>
    <cfRule type="cellIs" dxfId="37" priority="5" operator="lessThan">
      <formula>0</formula>
    </cfRule>
    <cfRule type="cellIs" dxfId="36" priority="6" operator="greaterThan">
      <formula>0</formula>
    </cfRule>
    <cfRule type="cellIs" dxfId="35" priority="7" operator="between">
      <formula>0</formula>
      <formula>9999999999999</formula>
    </cfRule>
    <cfRule type="expression" dxfId="34" priority="8">
      <formula>"&lt;0"</formula>
    </cfRule>
  </conditionalFormatting>
  <conditionalFormatting sqref="F8:F31">
    <cfRule type="cellIs" dxfId="33" priority="1" operator="equal">
      <formula>0</formula>
    </cfRule>
    <cfRule type="cellIs" dxfId="32" priority="2" operator="lessThan">
      <formula>0</formula>
    </cfRule>
    <cfRule type="cellIs" dxfId="31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B3:K32"/>
  <sheetViews>
    <sheetView showGridLines="0" workbookViewId="0"/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683.65285454048012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559</v>
      </c>
      <c r="F11" s="47">
        <f t="shared" si="0"/>
        <v>-59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735</v>
      </c>
      <c r="F12" s="47">
        <f t="shared" si="0"/>
        <v>-35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996</v>
      </c>
      <c r="F13" s="47">
        <f t="shared" si="0"/>
        <v>4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1195</v>
      </c>
      <c r="F14" s="47">
        <f t="shared" si="0"/>
        <v>105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1393</v>
      </c>
      <c r="F15" s="47">
        <f t="shared" si="0"/>
        <v>107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1705</v>
      </c>
      <c r="F16" s="47">
        <f t="shared" si="0"/>
        <v>295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2135</v>
      </c>
      <c r="F17" s="47">
        <f t="shared" si="0"/>
        <v>265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2809</v>
      </c>
      <c r="F18" s="47">
        <f t="shared" si="0"/>
        <v>191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3195</v>
      </c>
      <c r="F19" s="47">
        <f t="shared" si="0"/>
        <v>205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4009</v>
      </c>
      <c r="F20" s="47">
        <f t="shared" si="0"/>
        <v>491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30" priority="1" operator="equal">
      <formula>0</formula>
    </cfRule>
    <cfRule type="cellIs" dxfId="29" priority="2" operator="lessThan">
      <formula>0</formula>
    </cfRule>
    <cfRule type="cellIs" dxfId="28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S35"/>
  <sheetViews>
    <sheetView showGridLines="0" workbookViewId="0"/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36" t="s">
        <v>186</v>
      </c>
      <c r="D5" s="136"/>
      <c r="E5" s="136"/>
      <c r="F5" s="136"/>
      <c r="G5" s="136"/>
      <c r="H5" s="136"/>
      <c r="I5" s="136"/>
      <c r="O5" s="136" t="s">
        <v>187</v>
      </c>
      <c r="P5" s="136"/>
      <c r="Q5" s="136"/>
      <c r="R5" s="136"/>
    </row>
    <row r="6" spans="1:19" ht="2.25" customHeight="1" x14ac:dyDescent="0.25"/>
    <row r="7" spans="1:19" s="49" customFormat="1" ht="18" customHeight="1" x14ac:dyDescent="0.25">
      <c r="C7" s="145" t="s">
        <v>188</v>
      </c>
      <c r="D7" s="145"/>
      <c r="E7" s="145"/>
      <c r="F7" s="145"/>
      <c r="G7" s="145"/>
      <c r="H7" s="145"/>
      <c r="I7" s="145"/>
      <c r="N7" s="145" t="s">
        <v>189</v>
      </c>
      <c r="O7" s="145"/>
      <c r="P7" s="145"/>
      <c r="Q7" s="145"/>
      <c r="R7" s="145"/>
      <c r="S7" s="145"/>
    </row>
    <row r="8" spans="1:19" ht="7.5" customHeight="1" x14ac:dyDescent="0.25"/>
    <row r="9" spans="1:19" s="49" customFormat="1" ht="21" customHeight="1" x14ac:dyDescent="0.25">
      <c r="C9" s="64" t="s">
        <v>190</v>
      </c>
      <c r="D9" s="64" t="s">
        <v>191</v>
      </c>
      <c r="E9" s="64" t="s">
        <v>192</v>
      </c>
      <c r="F9" s="64" t="s">
        <v>193</v>
      </c>
      <c r="G9" s="64" t="s">
        <v>194</v>
      </c>
      <c r="H9" s="64" t="s">
        <v>195</v>
      </c>
      <c r="I9" s="137" t="s">
        <v>196</v>
      </c>
      <c r="O9" s="72" t="s">
        <v>197</v>
      </c>
      <c r="P9" s="92">
        <v>6</v>
      </c>
      <c r="Q9" s="72" t="s">
        <v>198</v>
      </c>
      <c r="R9" s="93">
        <v>0</v>
      </c>
    </row>
    <row r="10" spans="1:19" s="49" customFormat="1" ht="23.25" customHeight="1" x14ac:dyDescent="0.25">
      <c r="B10" s="46" t="s">
        <v>141</v>
      </c>
      <c r="C10" s="90">
        <v>4.8000000000000001E-2</v>
      </c>
      <c r="D10" s="73" t="s">
        <v>199</v>
      </c>
      <c r="E10" s="91">
        <v>0.05</v>
      </c>
      <c r="F10" s="91">
        <v>6.4999999999999997E-3</v>
      </c>
      <c r="G10" s="91">
        <v>0.03</v>
      </c>
      <c r="H10" s="91">
        <v>2.8799999999999999E-2</v>
      </c>
      <c r="I10" s="138"/>
      <c r="P10" s="69" t="s">
        <v>247</v>
      </c>
      <c r="Q10" s="68" t="s">
        <v>200</v>
      </c>
      <c r="R10" s="70" t="s">
        <v>201</v>
      </c>
    </row>
    <row r="11" spans="1:19" x14ac:dyDescent="0.25">
      <c r="A11">
        <v>0</v>
      </c>
      <c r="B11" s="59">
        <f>'VPL e TIR'!D8</f>
        <v>0</v>
      </c>
      <c r="C11" s="66">
        <f>B11*$C$10</f>
        <v>0</v>
      </c>
      <c r="D11" s="86"/>
      <c r="E11" s="66">
        <f>B11*$E$10</f>
        <v>0</v>
      </c>
      <c r="F11" s="66">
        <f>B11*$F$10</f>
        <v>0</v>
      </c>
      <c r="G11" s="66">
        <f>B11*$G$10</f>
        <v>0</v>
      </c>
      <c r="H11" s="66">
        <f>B11*$H$10</f>
        <v>0</v>
      </c>
      <c r="I11" s="66">
        <f>SUM(C11:H11)</f>
        <v>0</v>
      </c>
      <c r="K11" t="s">
        <v>202</v>
      </c>
      <c r="O11">
        <v>0</v>
      </c>
      <c r="P11" s="67" t="e">
        <f>((R11*($P$9/100))-$R$9)/R11</f>
        <v>#DIV/0!</v>
      </c>
      <c r="Q11" s="66" t="e">
        <f>P11*B11</f>
        <v>#DIV/0!</v>
      </c>
      <c r="R11" s="71">
        <f>B11</f>
        <v>0</v>
      </c>
    </row>
    <row r="12" spans="1:19" x14ac:dyDescent="0.25">
      <c r="A12">
        <v>1</v>
      </c>
      <c r="B12" s="59">
        <f>'VPL e TIR'!D9</f>
        <v>0</v>
      </c>
      <c r="C12" s="66">
        <f t="shared" ref="C12:C35" si="0">B12*$C$10</f>
        <v>0</v>
      </c>
      <c r="D12" s="86"/>
      <c r="E12" s="66">
        <f t="shared" ref="E12:E35" si="1">B12*$E$10</f>
        <v>0</v>
      </c>
      <c r="F12" s="66">
        <f t="shared" ref="F12:F35" si="2">B12*$F$10</f>
        <v>0</v>
      </c>
      <c r="G12" s="66">
        <f t="shared" ref="G12:G35" si="3">B12*$G$10</f>
        <v>0</v>
      </c>
      <c r="H12" s="66">
        <f t="shared" ref="H12:H35" si="4">B12*$H$10</f>
        <v>0</v>
      </c>
      <c r="I12" s="66">
        <f t="shared" ref="I12:I35" si="5">SUM(C12:H12)</f>
        <v>0</v>
      </c>
      <c r="K12" t="s">
        <v>203</v>
      </c>
      <c r="O12">
        <v>1</v>
      </c>
      <c r="P12" s="67" t="e">
        <f t="shared" ref="P12:P35" si="6">((R12*($P$9/100))-$R$9)/R12</f>
        <v>#DIV/0!</v>
      </c>
      <c r="Q12" s="66" t="e">
        <f t="shared" ref="Q12:Q35" si="7">P12*B12</f>
        <v>#DIV/0!</v>
      </c>
      <c r="R12" s="71">
        <f>SUM(B11:B12)</f>
        <v>0</v>
      </c>
    </row>
    <row r="13" spans="1:19" x14ac:dyDescent="0.25">
      <c r="A13">
        <v>2</v>
      </c>
      <c r="B13" s="59">
        <f>'VPL e TIR'!D10</f>
        <v>400</v>
      </c>
      <c r="C13" s="66">
        <f t="shared" si="0"/>
        <v>19.2</v>
      </c>
      <c r="D13" s="86"/>
      <c r="E13" s="66">
        <f t="shared" si="1"/>
        <v>20</v>
      </c>
      <c r="F13" s="66">
        <f t="shared" si="2"/>
        <v>2.6</v>
      </c>
      <c r="G13" s="66">
        <f t="shared" si="3"/>
        <v>12</v>
      </c>
      <c r="H13" s="66">
        <f t="shared" si="4"/>
        <v>11.52</v>
      </c>
      <c r="I13" s="66">
        <f t="shared" si="5"/>
        <v>65.320000000000007</v>
      </c>
      <c r="K13" t="s">
        <v>204</v>
      </c>
      <c r="O13">
        <v>2</v>
      </c>
      <c r="P13" s="67">
        <f t="shared" si="6"/>
        <v>0.06</v>
      </c>
      <c r="Q13" s="66">
        <f t="shared" si="7"/>
        <v>24</v>
      </c>
      <c r="R13" s="71">
        <f>SUM(B11:B13)</f>
        <v>400</v>
      </c>
    </row>
    <row r="14" spans="1:19" x14ac:dyDescent="0.25">
      <c r="A14">
        <v>3</v>
      </c>
      <c r="B14" s="59">
        <f>'VPL e TIR'!D11</f>
        <v>500</v>
      </c>
      <c r="C14" s="66">
        <f t="shared" si="0"/>
        <v>24</v>
      </c>
      <c r="D14" s="86"/>
      <c r="E14" s="66">
        <f t="shared" si="1"/>
        <v>25</v>
      </c>
      <c r="F14" s="66">
        <f t="shared" si="2"/>
        <v>3.25</v>
      </c>
      <c r="G14" s="66">
        <f t="shared" si="3"/>
        <v>15</v>
      </c>
      <c r="H14" s="66">
        <f t="shared" si="4"/>
        <v>14.4</v>
      </c>
      <c r="I14" s="66">
        <f t="shared" si="5"/>
        <v>81.650000000000006</v>
      </c>
      <c r="K14" t="s">
        <v>205</v>
      </c>
      <c r="O14">
        <v>3</v>
      </c>
      <c r="P14" s="67">
        <f t="shared" si="6"/>
        <v>0.06</v>
      </c>
      <c r="Q14" s="66">
        <f t="shared" si="7"/>
        <v>30</v>
      </c>
      <c r="R14" s="71">
        <f>SUM(B11:B14)</f>
        <v>900</v>
      </c>
    </row>
    <row r="15" spans="1:19" x14ac:dyDescent="0.25">
      <c r="A15">
        <v>4</v>
      </c>
      <c r="B15" s="59">
        <f>'VPL e TIR'!D12</f>
        <v>700</v>
      </c>
      <c r="C15" s="66">
        <f t="shared" si="0"/>
        <v>33.6</v>
      </c>
      <c r="D15" s="86"/>
      <c r="E15" s="66">
        <f t="shared" si="1"/>
        <v>35</v>
      </c>
      <c r="F15" s="66">
        <f t="shared" si="2"/>
        <v>4.55</v>
      </c>
      <c r="G15" s="66">
        <f t="shared" si="3"/>
        <v>21</v>
      </c>
      <c r="H15" s="66">
        <f t="shared" si="4"/>
        <v>20.16</v>
      </c>
      <c r="I15" s="66">
        <f t="shared" si="5"/>
        <v>114.30999999999999</v>
      </c>
      <c r="K15" t="s">
        <v>206</v>
      </c>
      <c r="O15">
        <v>4</v>
      </c>
      <c r="P15" s="67">
        <f t="shared" si="6"/>
        <v>0.06</v>
      </c>
      <c r="Q15" s="66">
        <f t="shared" si="7"/>
        <v>42</v>
      </c>
      <c r="R15" s="71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6">
        <f t="shared" si="0"/>
        <v>48</v>
      </c>
      <c r="D16" s="86"/>
      <c r="E16" s="66">
        <f t="shared" si="1"/>
        <v>50</v>
      </c>
      <c r="F16" s="66">
        <f t="shared" si="2"/>
        <v>6.5</v>
      </c>
      <c r="G16" s="66">
        <f t="shared" si="3"/>
        <v>30</v>
      </c>
      <c r="H16" s="66">
        <f t="shared" si="4"/>
        <v>28.8</v>
      </c>
      <c r="I16" s="66">
        <f t="shared" si="5"/>
        <v>163.30000000000001</v>
      </c>
      <c r="O16">
        <v>5</v>
      </c>
      <c r="P16" s="67">
        <f t="shared" si="6"/>
        <v>0.06</v>
      </c>
      <c r="Q16" s="66">
        <f t="shared" si="7"/>
        <v>60</v>
      </c>
      <c r="R16" s="71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6">
        <f t="shared" si="0"/>
        <v>62.4</v>
      </c>
      <c r="D17" s="86"/>
      <c r="E17" s="66">
        <f t="shared" si="1"/>
        <v>65</v>
      </c>
      <c r="F17" s="66">
        <f t="shared" si="2"/>
        <v>8.4499999999999993</v>
      </c>
      <c r="G17" s="66">
        <f t="shared" si="3"/>
        <v>39</v>
      </c>
      <c r="H17" s="66">
        <f t="shared" si="4"/>
        <v>37.44</v>
      </c>
      <c r="I17" s="66">
        <f t="shared" si="5"/>
        <v>212.29</v>
      </c>
      <c r="O17">
        <v>6</v>
      </c>
      <c r="P17" s="67">
        <f t="shared" si="6"/>
        <v>0.06</v>
      </c>
      <c r="Q17" s="66">
        <f t="shared" si="7"/>
        <v>78</v>
      </c>
      <c r="R17" s="71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6">
        <f t="shared" si="0"/>
        <v>72</v>
      </c>
      <c r="D18" s="86"/>
      <c r="E18" s="66">
        <f t="shared" si="1"/>
        <v>75</v>
      </c>
      <c r="F18" s="66">
        <f t="shared" si="2"/>
        <v>9.75</v>
      </c>
      <c r="G18" s="66">
        <f t="shared" si="3"/>
        <v>45</v>
      </c>
      <c r="H18" s="66">
        <f t="shared" si="4"/>
        <v>43.199999999999996</v>
      </c>
      <c r="I18" s="66">
        <f t="shared" si="5"/>
        <v>244.95</v>
      </c>
      <c r="O18">
        <v>7</v>
      </c>
      <c r="P18" s="67">
        <f t="shared" si="6"/>
        <v>0.06</v>
      </c>
      <c r="Q18" s="66">
        <f t="shared" si="7"/>
        <v>90</v>
      </c>
      <c r="R18" s="71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6">
        <f t="shared" si="0"/>
        <v>96</v>
      </c>
      <c r="D19" s="86"/>
      <c r="E19" s="66">
        <f t="shared" si="1"/>
        <v>100</v>
      </c>
      <c r="F19" s="66">
        <f t="shared" si="2"/>
        <v>13</v>
      </c>
      <c r="G19" s="66">
        <f t="shared" si="3"/>
        <v>60</v>
      </c>
      <c r="H19" s="66">
        <f t="shared" si="4"/>
        <v>57.6</v>
      </c>
      <c r="I19" s="66">
        <f t="shared" si="5"/>
        <v>326.60000000000002</v>
      </c>
      <c r="K19" s="139" t="s">
        <v>207</v>
      </c>
      <c r="L19" s="140"/>
      <c r="M19" s="140"/>
      <c r="N19" s="141"/>
      <c r="O19">
        <v>8</v>
      </c>
      <c r="P19" s="67">
        <f t="shared" si="6"/>
        <v>0.06</v>
      </c>
      <c r="Q19" s="66">
        <f t="shared" si="7"/>
        <v>120</v>
      </c>
      <c r="R19" s="71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6">
        <f t="shared" si="0"/>
        <v>115.2</v>
      </c>
      <c r="D20" s="86"/>
      <c r="E20" s="66">
        <f t="shared" si="1"/>
        <v>120</v>
      </c>
      <c r="F20" s="66">
        <f t="shared" si="2"/>
        <v>15.6</v>
      </c>
      <c r="G20" s="66">
        <f t="shared" si="3"/>
        <v>72</v>
      </c>
      <c r="H20" s="66">
        <f t="shared" si="4"/>
        <v>69.12</v>
      </c>
      <c r="I20" s="66">
        <f t="shared" si="5"/>
        <v>391.91999999999996</v>
      </c>
      <c r="K20" s="142" t="s">
        <v>208</v>
      </c>
      <c r="L20" s="143"/>
      <c r="M20" s="143"/>
      <c r="N20" s="144"/>
      <c r="O20">
        <v>9</v>
      </c>
      <c r="P20" s="67">
        <f t="shared" si="6"/>
        <v>0.06</v>
      </c>
      <c r="Q20" s="66">
        <f t="shared" si="7"/>
        <v>144</v>
      </c>
      <c r="R20" s="71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6">
        <f t="shared" si="0"/>
        <v>144</v>
      </c>
      <c r="D21" s="86"/>
      <c r="E21" s="66">
        <f t="shared" si="1"/>
        <v>150</v>
      </c>
      <c r="F21" s="66">
        <f t="shared" si="2"/>
        <v>19.5</v>
      </c>
      <c r="G21" s="66">
        <f t="shared" si="3"/>
        <v>90</v>
      </c>
      <c r="H21" s="66">
        <f t="shared" si="4"/>
        <v>86.399999999999991</v>
      </c>
      <c r="I21" s="66">
        <f t="shared" si="5"/>
        <v>489.9</v>
      </c>
      <c r="K21" s="142" t="s">
        <v>209</v>
      </c>
      <c r="L21" s="143"/>
      <c r="M21" s="143"/>
      <c r="N21" s="144"/>
      <c r="O21">
        <v>10</v>
      </c>
      <c r="P21" s="67">
        <f t="shared" si="6"/>
        <v>0.06</v>
      </c>
      <c r="Q21" s="66">
        <f t="shared" si="7"/>
        <v>180</v>
      </c>
      <c r="R21" s="71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6">
        <f t="shared" si="0"/>
        <v>163.20000000000002</v>
      </c>
      <c r="D22" s="86"/>
      <c r="E22" s="66">
        <f t="shared" si="1"/>
        <v>170</v>
      </c>
      <c r="F22" s="66">
        <f t="shared" si="2"/>
        <v>22.099999999999998</v>
      </c>
      <c r="G22" s="66">
        <f t="shared" si="3"/>
        <v>102</v>
      </c>
      <c r="H22" s="66">
        <f t="shared" si="4"/>
        <v>97.92</v>
      </c>
      <c r="I22" s="66">
        <f t="shared" si="5"/>
        <v>555.22</v>
      </c>
      <c r="K22" s="142" t="s">
        <v>210</v>
      </c>
      <c r="L22" s="143"/>
      <c r="M22" s="143"/>
      <c r="N22" s="144"/>
      <c r="O22">
        <v>11</v>
      </c>
      <c r="P22" s="67">
        <f t="shared" si="6"/>
        <v>0.06</v>
      </c>
      <c r="Q22" s="66">
        <f t="shared" si="7"/>
        <v>204</v>
      </c>
      <c r="R22" s="71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6">
        <f t="shared" si="0"/>
        <v>216</v>
      </c>
      <c r="D23" s="86"/>
      <c r="E23" s="66">
        <f t="shared" si="1"/>
        <v>225</v>
      </c>
      <c r="F23" s="66">
        <f t="shared" si="2"/>
        <v>29.25</v>
      </c>
      <c r="G23" s="66">
        <f t="shared" si="3"/>
        <v>135</v>
      </c>
      <c r="H23" s="66">
        <f t="shared" si="4"/>
        <v>129.6</v>
      </c>
      <c r="I23" s="66">
        <f t="shared" si="5"/>
        <v>734.85</v>
      </c>
      <c r="K23" s="142" t="s">
        <v>211</v>
      </c>
      <c r="L23" s="143"/>
      <c r="M23" s="143"/>
      <c r="N23" s="144"/>
      <c r="O23">
        <v>12</v>
      </c>
      <c r="P23" s="67">
        <f t="shared" si="6"/>
        <v>0.06</v>
      </c>
      <c r="Q23" s="66">
        <f t="shared" si="7"/>
        <v>270</v>
      </c>
      <c r="R23" s="71">
        <f>SUM(B11:B23)</f>
        <v>20700</v>
      </c>
    </row>
    <row r="24" spans="1:18" x14ac:dyDescent="0.25">
      <c r="A24">
        <v>13</v>
      </c>
      <c r="B24" s="59">
        <f>'VPL e TIR'!D21</f>
        <v>0</v>
      </c>
      <c r="C24" s="66">
        <f t="shared" si="0"/>
        <v>0</v>
      </c>
      <c r="D24" s="86"/>
      <c r="E24" s="66">
        <f t="shared" si="1"/>
        <v>0</v>
      </c>
      <c r="F24" s="66">
        <f t="shared" si="2"/>
        <v>0</v>
      </c>
      <c r="G24" s="66">
        <f t="shared" si="3"/>
        <v>0</v>
      </c>
      <c r="H24" s="66">
        <f t="shared" si="4"/>
        <v>0</v>
      </c>
      <c r="I24" s="66">
        <f t="shared" si="5"/>
        <v>0</v>
      </c>
      <c r="K24" s="142" t="s">
        <v>212</v>
      </c>
      <c r="L24" s="143"/>
      <c r="M24" s="143"/>
      <c r="N24" s="144"/>
      <c r="O24">
        <v>13</v>
      </c>
      <c r="P24" s="67">
        <f t="shared" si="6"/>
        <v>0.06</v>
      </c>
      <c r="Q24" s="66">
        <f t="shared" si="7"/>
        <v>0</v>
      </c>
      <c r="R24" s="71">
        <f>SUM(B12:B23)</f>
        <v>20700</v>
      </c>
    </row>
    <row r="25" spans="1:18" x14ac:dyDescent="0.25">
      <c r="A25">
        <v>14</v>
      </c>
      <c r="B25" s="59">
        <f>'VPL e TIR'!D22</f>
        <v>0</v>
      </c>
      <c r="C25" s="66">
        <f t="shared" si="0"/>
        <v>0</v>
      </c>
      <c r="D25" s="86"/>
      <c r="E25" s="66">
        <f t="shared" si="1"/>
        <v>0</v>
      </c>
      <c r="F25" s="66">
        <f t="shared" si="2"/>
        <v>0</v>
      </c>
      <c r="G25" s="66">
        <f t="shared" si="3"/>
        <v>0</v>
      </c>
      <c r="H25" s="66">
        <f t="shared" si="4"/>
        <v>0</v>
      </c>
      <c r="I25" s="66">
        <f t="shared" si="5"/>
        <v>0</v>
      </c>
      <c r="K25" s="142" t="s">
        <v>213</v>
      </c>
      <c r="L25" s="143"/>
      <c r="M25" s="143"/>
      <c r="N25" s="144"/>
      <c r="O25">
        <v>14</v>
      </c>
      <c r="P25" s="67">
        <f t="shared" si="6"/>
        <v>0.06</v>
      </c>
      <c r="Q25" s="66">
        <f t="shared" si="7"/>
        <v>0</v>
      </c>
      <c r="R25" s="71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6">
        <f t="shared" si="0"/>
        <v>0</v>
      </c>
      <c r="D26" s="86"/>
      <c r="E26" s="66">
        <f t="shared" si="1"/>
        <v>0</v>
      </c>
      <c r="F26" s="66">
        <f t="shared" si="2"/>
        <v>0</v>
      </c>
      <c r="G26" s="66">
        <f t="shared" si="3"/>
        <v>0</v>
      </c>
      <c r="H26" s="66">
        <f t="shared" si="4"/>
        <v>0</v>
      </c>
      <c r="I26" s="66">
        <f t="shared" si="5"/>
        <v>0</v>
      </c>
      <c r="K26" s="146" t="s">
        <v>214</v>
      </c>
      <c r="L26" s="147"/>
      <c r="M26" s="147"/>
      <c r="N26" s="148"/>
      <c r="O26">
        <v>15</v>
      </c>
      <c r="P26" s="67">
        <f t="shared" si="6"/>
        <v>0.06</v>
      </c>
      <c r="Q26" s="66">
        <f t="shared" si="7"/>
        <v>0</v>
      </c>
      <c r="R26" s="71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6">
        <f t="shared" si="0"/>
        <v>0</v>
      </c>
      <c r="D27" s="86"/>
      <c r="E27" s="66">
        <f t="shared" si="1"/>
        <v>0</v>
      </c>
      <c r="F27" s="66">
        <f t="shared" si="2"/>
        <v>0</v>
      </c>
      <c r="G27" s="66">
        <f t="shared" si="3"/>
        <v>0</v>
      </c>
      <c r="H27" s="66">
        <f t="shared" si="4"/>
        <v>0</v>
      </c>
      <c r="I27" s="66">
        <f t="shared" si="5"/>
        <v>0</v>
      </c>
      <c r="O27">
        <v>16</v>
      </c>
      <c r="P27" s="67">
        <f t="shared" si="6"/>
        <v>0.06</v>
      </c>
      <c r="Q27" s="66">
        <f t="shared" si="7"/>
        <v>0</v>
      </c>
      <c r="R27" s="71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6">
        <f t="shared" si="0"/>
        <v>0</v>
      </c>
      <c r="D28" s="86"/>
      <c r="E28" s="66">
        <f t="shared" si="1"/>
        <v>0</v>
      </c>
      <c r="F28" s="66">
        <f t="shared" si="2"/>
        <v>0</v>
      </c>
      <c r="G28" s="66">
        <f t="shared" si="3"/>
        <v>0</v>
      </c>
      <c r="H28" s="66">
        <f t="shared" si="4"/>
        <v>0</v>
      </c>
      <c r="I28" s="66">
        <f t="shared" si="5"/>
        <v>0</v>
      </c>
      <c r="K28" s="149" t="s">
        <v>215</v>
      </c>
      <c r="L28" s="150"/>
      <c r="M28" s="150"/>
      <c r="N28" s="151"/>
      <c r="O28">
        <v>17</v>
      </c>
      <c r="P28" s="67">
        <f t="shared" si="6"/>
        <v>0.06</v>
      </c>
      <c r="Q28" s="66">
        <f t="shared" si="7"/>
        <v>0</v>
      </c>
      <c r="R28" s="71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6">
        <f t="shared" si="0"/>
        <v>0</v>
      </c>
      <c r="D29" s="86"/>
      <c r="E29" s="66">
        <f t="shared" si="1"/>
        <v>0</v>
      </c>
      <c r="F29" s="66">
        <f t="shared" si="2"/>
        <v>0</v>
      </c>
      <c r="G29" s="66">
        <f t="shared" si="3"/>
        <v>0</v>
      </c>
      <c r="H29" s="66">
        <f t="shared" si="4"/>
        <v>0</v>
      </c>
      <c r="I29" s="66">
        <f t="shared" si="5"/>
        <v>0</v>
      </c>
      <c r="K29" s="142" t="s">
        <v>216</v>
      </c>
      <c r="L29" s="143"/>
      <c r="M29" s="143"/>
      <c r="N29" s="144"/>
      <c r="O29">
        <v>18</v>
      </c>
      <c r="P29" s="67">
        <f t="shared" si="6"/>
        <v>0.06</v>
      </c>
      <c r="Q29" s="66">
        <f t="shared" si="7"/>
        <v>0</v>
      </c>
      <c r="R29" s="71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6">
        <f t="shared" si="0"/>
        <v>0</v>
      </c>
      <c r="D30" s="86"/>
      <c r="E30" s="66">
        <f t="shared" si="1"/>
        <v>0</v>
      </c>
      <c r="F30" s="66">
        <f t="shared" si="2"/>
        <v>0</v>
      </c>
      <c r="G30" s="66">
        <f t="shared" si="3"/>
        <v>0</v>
      </c>
      <c r="H30" s="66">
        <f t="shared" si="4"/>
        <v>0</v>
      </c>
      <c r="I30" s="66">
        <f t="shared" si="5"/>
        <v>0</v>
      </c>
      <c r="K30" s="142" t="s">
        <v>217</v>
      </c>
      <c r="L30" s="143"/>
      <c r="M30" s="143"/>
      <c r="N30" s="144"/>
      <c r="O30">
        <v>19</v>
      </c>
      <c r="P30" s="67">
        <f t="shared" si="6"/>
        <v>0.06</v>
      </c>
      <c r="Q30" s="66">
        <f t="shared" si="7"/>
        <v>0</v>
      </c>
      <c r="R30" s="71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6">
        <f t="shared" si="0"/>
        <v>0</v>
      </c>
      <c r="D31" s="86"/>
      <c r="E31" s="66">
        <f t="shared" si="1"/>
        <v>0</v>
      </c>
      <c r="F31" s="66">
        <f t="shared" si="2"/>
        <v>0</v>
      </c>
      <c r="G31" s="66">
        <f t="shared" si="3"/>
        <v>0</v>
      </c>
      <c r="H31" s="66">
        <f t="shared" si="4"/>
        <v>0</v>
      </c>
      <c r="I31" s="66">
        <f t="shared" si="5"/>
        <v>0</v>
      </c>
      <c r="K31" s="142" t="s">
        <v>218</v>
      </c>
      <c r="L31" s="143"/>
      <c r="M31" s="143"/>
      <c r="N31" s="144"/>
      <c r="O31">
        <v>20</v>
      </c>
      <c r="P31" s="67">
        <f t="shared" si="6"/>
        <v>0.06</v>
      </c>
      <c r="Q31" s="66">
        <f t="shared" si="7"/>
        <v>0</v>
      </c>
      <c r="R31" s="71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6">
        <f t="shared" si="0"/>
        <v>0</v>
      </c>
      <c r="D32" s="86"/>
      <c r="E32" s="66">
        <f t="shared" si="1"/>
        <v>0</v>
      </c>
      <c r="F32" s="66">
        <f t="shared" si="2"/>
        <v>0</v>
      </c>
      <c r="G32" s="66">
        <f t="shared" si="3"/>
        <v>0</v>
      </c>
      <c r="H32" s="66">
        <f t="shared" si="4"/>
        <v>0</v>
      </c>
      <c r="I32" s="66">
        <f t="shared" si="5"/>
        <v>0</v>
      </c>
      <c r="K32" s="146" t="s">
        <v>219</v>
      </c>
      <c r="L32" s="147"/>
      <c r="M32" s="147"/>
      <c r="N32" s="148"/>
      <c r="O32">
        <v>21</v>
      </c>
      <c r="P32" s="67">
        <f t="shared" si="6"/>
        <v>0.06</v>
      </c>
      <c r="Q32" s="66">
        <f t="shared" si="7"/>
        <v>0</v>
      </c>
      <c r="R32" s="71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6">
        <f t="shared" si="0"/>
        <v>0</v>
      </c>
      <c r="D33" s="86"/>
      <c r="E33" s="66">
        <f t="shared" si="1"/>
        <v>0</v>
      </c>
      <c r="F33" s="66">
        <f t="shared" si="2"/>
        <v>0</v>
      </c>
      <c r="G33" s="66">
        <f t="shared" si="3"/>
        <v>0</v>
      </c>
      <c r="H33" s="66">
        <f t="shared" si="4"/>
        <v>0</v>
      </c>
      <c r="I33" s="66">
        <f t="shared" si="5"/>
        <v>0</v>
      </c>
      <c r="O33">
        <v>22</v>
      </c>
      <c r="P33" s="67">
        <f t="shared" si="6"/>
        <v>0.06</v>
      </c>
      <c r="Q33" s="66">
        <f t="shared" si="7"/>
        <v>0</v>
      </c>
      <c r="R33" s="71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6">
        <f t="shared" si="0"/>
        <v>0</v>
      </c>
      <c r="D34" s="86"/>
      <c r="E34" s="66">
        <f t="shared" si="1"/>
        <v>0</v>
      </c>
      <c r="F34" s="66">
        <f t="shared" si="2"/>
        <v>0</v>
      </c>
      <c r="G34" s="66">
        <f t="shared" si="3"/>
        <v>0</v>
      </c>
      <c r="H34" s="66">
        <f t="shared" si="4"/>
        <v>0</v>
      </c>
      <c r="I34" s="66">
        <f t="shared" si="5"/>
        <v>0</v>
      </c>
      <c r="O34">
        <v>23</v>
      </c>
      <c r="P34" s="67">
        <f t="shared" si="6"/>
        <v>0.06</v>
      </c>
      <c r="Q34" s="66">
        <f t="shared" si="7"/>
        <v>0</v>
      </c>
      <c r="R34" s="71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6">
        <f t="shared" si="0"/>
        <v>0</v>
      </c>
      <c r="D35" s="86"/>
      <c r="E35" s="66">
        <f t="shared" si="1"/>
        <v>0</v>
      </c>
      <c r="F35" s="66">
        <f t="shared" si="2"/>
        <v>0</v>
      </c>
      <c r="G35" s="66">
        <f t="shared" si="3"/>
        <v>0</v>
      </c>
      <c r="H35" s="66">
        <f t="shared" si="4"/>
        <v>0</v>
      </c>
      <c r="I35" s="66">
        <f t="shared" si="5"/>
        <v>0</v>
      </c>
      <c r="O35">
        <v>24</v>
      </c>
      <c r="P35" s="67">
        <f t="shared" si="6"/>
        <v>0.06</v>
      </c>
      <c r="Q35" s="66">
        <f t="shared" si="7"/>
        <v>0</v>
      </c>
      <c r="R35" s="71">
        <f t="shared" si="8"/>
        <v>4500</v>
      </c>
    </row>
  </sheetData>
  <mergeCells count="18">
    <mergeCell ref="K32:N32"/>
    <mergeCell ref="K26:N26"/>
    <mergeCell ref="K28:N28"/>
    <mergeCell ref="K29:N29"/>
    <mergeCell ref="K30:N30"/>
    <mergeCell ref="K31:N31"/>
    <mergeCell ref="K21:N21"/>
    <mergeCell ref="K22:N22"/>
    <mergeCell ref="K23:N23"/>
    <mergeCell ref="K24:N24"/>
    <mergeCell ref="K25:N25"/>
    <mergeCell ref="C5:I5"/>
    <mergeCell ref="O5:R5"/>
    <mergeCell ref="I9:I10"/>
    <mergeCell ref="K19:N19"/>
    <mergeCell ref="K20:N20"/>
    <mergeCell ref="C7:I7"/>
    <mergeCell ref="N7:S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O31"/>
  <sheetViews>
    <sheetView showGridLines="0" tabSelected="1" workbookViewId="0"/>
  </sheetViews>
  <sheetFormatPr defaultRowHeight="15" x14ac:dyDescent="0.25"/>
  <cols>
    <col min="1" max="1" width="4" customWidth="1"/>
    <col min="2" max="2" width="3.85546875" customWidth="1"/>
    <col min="3" max="3" width="13.28515625" customWidth="1"/>
    <col min="4" max="4" width="13.5703125" customWidth="1"/>
    <col min="5" max="6" width="13.7109375" customWidth="1"/>
    <col min="7" max="7" width="14.140625" customWidth="1"/>
    <col min="8" max="8" width="17.42578125" customWidth="1"/>
    <col min="9" max="9" width="16.5703125" customWidth="1"/>
    <col min="10" max="10" width="13.42578125" customWidth="1"/>
    <col min="11" max="11" width="12.85546875" customWidth="1"/>
    <col min="12" max="12" width="6.7109375" customWidth="1"/>
    <col min="13" max="13" width="7.42578125" customWidth="1"/>
  </cols>
  <sheetData>
    <row r="3" spans="3:15" ht="21" x14ac:dyDescent="0.25">
      <c r="D3" s="48" t="s">
        <v>0</v>
      </c>
    </row>
    <row r="5" spans="3:15" ht="21" x14ac:dyDescent="0.35">
      <c r="C5" s="77" t="s">
        <v>220</v>
      </c>
    </row>
    <row r="6" spans="3:15" ht="9" customHeight="1" x14ac:dyDescent="0.25"/>
    <row r="7" spans="3:15" ht="18.75" x14ac:dyDescent="0.3">
      <c r="C7" s="74" t="s">
        <v>221</v>
      </c>
    </row>
    <row r="8" spans="3:15" ht="6.75" customHeight="1" x14ac:dyDescent="0.25"/>
    <row r="9" spans="3:15" s="88" customFormat="1" ht="21.75" customHeight="1" x14ac:dyDescent="0.25">
      <c r="D9" s="145" t="s">
        <v>222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3:15" ht="6.75" customHeight="1" x14ac:dyDescent="0.25"/>
    <row r="11" spans="3:15" ht="22.5" customHeight="1" x14ac:dyDescent="0.25">
      <c r="C11" s="50"/>
      <c r="D11" s="75" t="s">
        <v>223</v>
      </c>
      <c r="E11" s="75" t="s">
        <v>224</v>
      </c>
      <c r="F11" s="75" t="s">
        <v>225</v>
      </c>
      <c r="G11" s="75" t="s">
        <v>226</v>
      </c>
      <c r="H11" s="76" t="s">
        <v>227</v>
      </c>
      <c r="I11" s="76" t="s">
        <v>228</v>
      </c>
      <c r="J11" s="76" t="s">
        <v>229</v>
      </c>
      <c r="K11" s="76" t="s">
        <v>230</v>
      </c>
    </row>
    <row r="12" spans="3:15" x14ac:dyDescent="0.25">
      <c r="C12" s="75" t="s">
        <v>231</v>
      </c>
      <c r="D12" s="84">
        <v>12000</v>
      </c>
      <c r="E12" s="84">
        <v>19000</v>
      </c>
      <c r="F12" s="84">
        <v>19000</v>
      </c>
      <c r="G12" s="84">
        <v>20000</v>
      </c>
      <c r="H12" s="65">
        <f>MIN(D12:G12)</f>
        <v>12000</v>
      </c>
      <c r="I12" s="65">
        <f>MAX(D12:G12)</f>
        <v>20000</v>
      </c>
      <c r="J12" s="83">
        <f>$M$18*I12+(1-$M$18)*H12</f>
        <v>14000</v>
      </c>
      <c r="K12" s="65">
        <f>AVERAGE(D12:G12)</f>
        <v>17500</v>
      </c>
    </row>
    <row r="13" spans="3:15" x14ac:dyDescent="0.25">
      <c r="C13" s="75" t="s">
        <v>232</v>
      </c>
      <c r="D13" s="84">
        <v>14000</v>
      </c>
      <c r="E13" s="84">
        <v>14000</v>
      </c>
      <c r="F13" s="84">
        <v>14000</v>
      </c>
      <c r="G13" s="84">
        <v>14000</v>
      </c>
      <c r="H13" s="65">
        <f t="shared" ref="H13:H15" si="0">MIN(D13:G13)</f>
        <v>14000</v>
      </c>
      <c r="I13" s="65">
        <f t="shared" ref="I13:I15" si="1">MAX(D13:G13)</f>
        <v>14000</v>
      </c>
      <c r="J13" s="83">
        <f t="shared" ref="J13:J15" si="2">$M$18*I13+(1-$M$18)*H13</f>
        <v>14000</v>
      </c>
      <c r="K13" s="65">
        <f t="shared" ref="K13:K15" si="3">AVERAGE(D13:G13)</f>
        <v>14000</v>
      </c>
    </row>
    <row r="14" spans="3:15" x14ac:dyDescent="0.25">
      <c r="C14" s="75" t="s">
        <v>233</v>
      </c>
      <c r="D14" s="84">
        <v>13000</v>
      </c>
      <c r="E14" s="84">
        <v>10000</v>
      </c>
      <c r="F14" s="84">
        <v>22000</v>
      </c>
      <c r="G14" s="84">
        <v>13000</v>
      </c>
      <c r="H14" s="65">
        <f t="shared" si="0"/>
        <v>10000</v>
      </c>
      <c r="I14" s="65">
        <f t="shared" si="1"/>
        <v>22000</v>
      </c>
      <c r="J14" s="83">
        <f t="shared" si="2"/>
        <v>13000</v>
      </c>
      <c r="K14" s="65">
        <f t="shared" si="3"/>
        <v>14500</v>
      </c>
    </row>
    <row r="15" spans="3:15" ht="15.75" thickBot="1" x14ac:dyDescent="0.3">
      <c r="C15" s="75" t="s">
        <v>234</v>
      </c>
      <c r="D15" s="84">
        <v>21000</v>
      </c>
      <c r="E15" s="84">
        <v>18000</v>
      </c>
      <c r="F15" s="84">
        <v>13000</v>
      </c>
      <c r="G15" s="85">
        <v>14000</v>
      </c>
      <c r="H15" s="65">
        <f t="shared" si="0"/>
        <v>13000</v>
      </c>
      <c r="I15" s="65">
        <f t="shared" si="1"/>
        <v>21000</v>
      </c>
      <c r="J15" s="83">
        <f t="shared" si="2"/>
        <v>15000</v>
      </c>
      <c r="K15" s="65">
        <f t="shared" si="3"/>
        <v>16500</v>
      </c>
    </row>
    <row r="16" spans="3:15" ht="15.75" thickBot="1" x14ac:dyDescent="0.3">
      <c r="G16" s="78" t="s">
        <v>235</v>
      </c>
      <c r="H16" s="80">
        <f>MAX(H12:H15)</f>
        <v>14000</v>
      </c>
      <c r="I16" s="63"/>
    </row>
    <row r="17" spans="3:15" ht="15.75" thickBot="1" x14ac:dyDescent="0.3">
      <c r="H17" s="79" t="s">
        <v>236</v>
      </c>
      <c r="I17" s="80">
        <f>MAX(I12:I15)</f>
        <v>22000</v>
      </c>
    </row>
    <row r="18" spans="3:15" ht="15.75" thickBot="1" x14ac:dyDescent="0.3">
      <c r="H18" s="161" t="s">
        <v>237</v>
      </c>
      <c r="I18" s="162"/>
      <c r="J18" s="81">
        <f>MAX(J12:J15)</f>
        <v>15000</v>
      </c>
      <c r="K18" s="163" t="s">
        <v>238</v>
      </c>
      <c r="L18" s="164"/>
      <c r="M18" s="87">
        <v>0.25</v>
      </c>
      <c r="N18" t="s">
        <v>239</v>
      </c>
    </row>
    <row r="19" spans="3:15" ht="15.75" thickBot="1" x14ac:dyDescent="0.3">
      <c r="I19" s="161" t="s">
        <v>240</v>
      </c>
      <c r="J19" s="162"/>
      <c r="K19" s="80">
        <f>MAX(K12:K15)</f>
        <v>17500</v>
      </c>
    </row>
    <row r="21" spans="3:15" ht="18.75" x14ac:dyDescent="0.3">
      <c r="C21" s="74" t="s">
        <v>241</v>
      </c>
    </row>
    <row r="22" spans="3:15" ht="6" customHeight="1" x14ac:dyDescent="0.25"/>
    <row r="23" spans="3:15" ht="24.75" customHeight="1" thickBot="1" x14ac:dyDescent="0.3">
      <c r="C23" s="50"/>
      <c r="D23" s="75" t="s">
        <v>223</v>
      </c>
      <c r="E23" s="75" t="s">
        <v>224</v>
      </c>
      <c r="F23" s="75" t="s">
        <v>225</v>
      </c>
      <c r="G23" s="75" t="s">
        <v>226</v>
      </c>
      <c r="H23" s="76" t="s">
        <v>242</v>
      </c>
      <c r="I23" s="76" t="s">
        <v>243</v>
      </c>
      <c r="J23" s="76" t="s">
        <v>229</v>
      </c>
      <c r="K23" s="76" t="s">
        <v>230</v>
      </c>
      <c r="M23" s="89"/>
      <c r="N23" s="89"/>
      <c r="O23" s="89"/>
    </row>
    <row r="24" spans="3:15" x14ac:dyDescent="0.25">
      <c r="C24" s="75" t="s">
        <v>231</v>
      </c>
      <c r="D24" s="84">
        <v>12000</v>
      </c>
      <c r="E24" s="84">
        <v>19000</v>
      </c>
      <c r="F24" s="84">
        <v>19000</v>
      </c>
      <c r="G24" s="84">
        <v>20000</v>
      </c>
      <c r="H24" s="66">
        <f>MAX(D24:G24)</f>
        <v>20000</v>
      </c>
      <c r="I24" s="66">
        <f>MIN(D24:G24)</f>
        <v>12000</v>
      </c>
      <c r="J24" s="82">
        <f>$M$30*I24+(1-$M$30)*H24</f>
        <v>18000</v>
      </c>
      <c r="K24" s="66">
        <f>AVERAGE(D24:G24)</f>
        <v>17500</v>
      </c>
      <c r="M24" s="152" t="s">
        <v>244</v>
      </c>
      <c r="N24" s="153"/>
      <c r="O24" s="154"/>
    </row>
    <row r="25" spans="3:15" x14ac:dyDescent="0.25">
      <c r="C25" s="75" t="s">
        <v>232</v>
      </c>
      <c r="D25" s="84">
        <v>14000</v>
      </c>
      <c r="E25" s="84">
        <v>14000</v>
      </c>
      <c r="F25" s="84">
        <v>14000</v>
      </c>
      <c r="G25" s="84">
        <v>14000</v>
      </c>
      <c r="H25" s="66">
        <f t="shared" ref="H25:H27" si="4">MAX(D25:G25)</f>
        <v>14000</v>
      </c>
      <c r="I25" s="66">
        <f t="shared" ref="I25:I27" si="5">MIN(D25:G25)</f>
        <v>14000</v>
      </c>
      <c r="J25" s="82">
        <f t="shared" ref="J25:J27" si="6">$M$30*I25+(1-$M$30)*H25</f>
        <v>14000</v>
      </c>
      <c r="K25" s="66">
        <f t="shared" ref="K25:K27" si="7">AVERAGE(D25:G25)</f>
        <v>14000</v>
      </c>
      <c r="M25" s="155"/>
      <c r="N25" s="156"/>
      <c r="O25" s="157"/>
    </row>
    <row r="26" spans="3:15" x14ac:dyDescent="0.25">
      <c r="C26" s="75" t="s">
        <v>233</v>
      </c>
      <c r="D26" s="84">
        <v>13000</v>
      </c>
      <c r="E26" s="84">
        <v>10000</v>
      </c>
      <c r="F26" s="84">
        <v>22000</v>
      </c>
      <c r="G26" s="84">
        <v>13000</v>
      </c>
      <c r="H26" s="66">
        <f t="shared" si="4"/>
        <v>22000</v>
      </c>
      <c r="I26" s="66">
        <f t="shared" si="5"/>
        <v>10000</v>
      </c>
      <c r="J26" s="82">
        <f t="shared" si="6"/>
        <v>19000</v>
      </c>
      <c r="K26" s="66">
        <f t="shared" si="7"/>
        <v>14500</v>
      </c>
      <c r="M26" s="155"/>
      <c r="N26" s="156"/>
      <c r="O26" s="157"/>
    </row>
    <row r="27" spans="3:15" ht="15.75" thickBot="1" x14ac:dyDescent="0.3">
      <c r="C27" s="75" t="s">
        <v>234</v>
      </c>
      <c r="D27" s="84">
        <v>21000</v>
      </c>
      <c r="E27" s="84">
        <v>18000</v>
      </c>
      <c r="F27" s="84">
        <v>13000</v>
      </c>
      <c r="G27" s="85">
        <v>14000</v>
      </c>
      <c r="H27" s="66">
        <f t="shared" si="4"/>
        <v>21000</v>
      </c>
      <c r="I27" s="66">
        <f t="shared" si="5"/>
        <v>13000</v>
      </c>
      <c r="J27" s="82">
        <f t="shared" si="6"/>
        <v>19000</v>
      </c>
      <c r="K27" s="66">
        <f t="shared" si="7"/>
        <v>16500</v>
      </c>
      <c r="M27" s="158"/>
      <c r="N27" s="159"/>
      <c r="O27" s="160"/>
    </row>
    <row r="28" spans="3:15" ht="15.75" thickBot="1" x14ac:dyDescent="0.3">
      <c r="G28" s="78" t="s">
        <v>245</v>
      </c>
      <c r="H28" s="80">
        <f>MIN(H24:H27)</f>
        <v>14000</v>
      </c>
      <c r="I28" s="63"/>
    </row>
    <row r="29" spans="3:15" ht="15.75" thickBot="1" x14ac:dyDescent="0.3">
      <c r="H29" s="79" t="s">
        <v>246</v>
      </c>
      <c r="I29" s="80">
        <f>MIN(I24:I27)</f>
        <v>10000</v>
      </c>
    </row>
    <row r="30" spans="3:15" ht="15.75" thickBot="1" x14ac:dyDescent="0.3">
      <c r="H30" s="161" t="s">
        <v>237</v>
      </c>
      <c r="I30" s="162"/>
      <c r="J30" s="81">
        <f>MIN(J24:J27)</f>
        <v>14000</v>
      </c>
      <c r="K30" s="163" t="s">
        <v>238</v>
      </c>
      <c r="L30" s="164"/>
      <c r="M30" s="87">
        <v>0.25</v>
      </c>
      <c r="N30" t="s">
        <v>239</v>
      </c>
    </row>
    <row r="31" spans="3:15" ht="15.75" thickBot="1" x14ac:dyDescent="0.3">
      <c r="I31" s="161" t="s">
        <v>240</v>
      </c>
      <c r="J31" s="162"/>
      <c r="K31" s="80">
        <f>MIN(K24:K27)</f>
        <v>14000</v>
      </c>
    </row>
  </sheetData>
  <mergeCells count="8">
    <mergeCell ref="D9:O9"/>
    <mergeCell ref="M24:O27"/>
    <mergeCell ref="H30:I30"/>
    <mergeCell ref="K30:L30"/>
    <mergeCell ref="I31:J31"/>
    <mergeCell ref="I19:J19"/>
    <mergeCell ref="H18:I18"/>
    <mergeCell ref="K18:L18"/>
  </mergeCells>
  <conditionalFormatting sqref="H12">
    <cfRule type="cellIs" dxfId="27" priority="36" operator="equal">
      <formula>$H$16</formula>
    </cfRule>
  </conditionalFormatting>
  <conditionalFormatting sqref="H13">
    <cfRule type="cellIs" dxfId="26" priority="35" operator="equal">
      <formula>$H$16</formula>
    </cfRule>
  </conditionalFormatting>
  <conditionalFormatting sqref="I12">
    <cfRule type="cellIs" dxfId="25" priority="34" operator="equal">
      <formula>$I$17</formula>
    </cfRule>
  </conditionalFormatting>
  <conditionalFormatting sqref="I13">
    <cfRule type="cellIs" dxfId="24" priority="33" operator="equal">
      <formula>$I$17</formula>
    </cfRule>
  </conditionalFormatting>
  <conditionalFormatting sqref="J12">
    <cfRule type="cellIs" dxfId="23" priority="32" operator="equal">
      <formula>$J$18</formula>
    </cfRule>
  </conditionalFormatting>
  <conditionalFormatting sqref="J13">
    <cfRule type="cellIs" dxfId="22" priority="31" operator="equal">
      <formula>$J$18</formula>
    </cfRule>
  </conditionalFormatting>
  <conditionalFormatting sqref="K12">
    <cfRule type="cellIs" dxfId="21" priority="29" operator="equal">
      <formula>$K$19</formula>
    </cfRule>
  </conditionalFormatting>
  <conditionalFormatting sqref="K13">
    <cfRule type="cellIs" dxfId="20" priority="27" operator="equal">
      <formula>$K$19</formula>
    </cfRule>
  </conditionalFormatting>
  <conditionalFormatting sqref="H24">
    <cfRule type="cellIs" dxfId="19" priority="26" operator="equal">
      <formula>$H$28</formula>
    </cfRule>
  </conditionalFormatting>
  <conditionalFormatting sqref="I24">
    <cfRule type="cellIs" dxfId="18" priority="24" operator="equal">
      <formula>$I$29</formula>
    </cfRule>
  </conditionalFormatting>
  <conditionalFormatting sqref="J24">
    <cfRule type="cellIs" dxfId="17" priority="22" operator="equal">
      <formula>$J$30</formula>
    </cfRule>
  </conditionalFormatting>
  <conditionalFormatting sqref="J25">
    <cfRule type="cellIs" dxfId="16" priority="21" operator="equal">
      <formula>$J$30</formula>
    </cfRule>
  </conditionalFormatting>
  <conditionalFormatting sqref="K24">
    <cfRule type="cellIs" dxfId="15" priority="20" operator="equal">
      <formula>$K$31</formula>
    </cfRule>
  </conditionalFormatting>
  <conditionalFormatting sqref="K25">
    <cfRule type="cellIs" dxfId="14" priority="19" operator="equal">
      <formula>$K$31</formula>
    </cfRule>
  </conditionalFormatting>
  <conditionalFormatting sqref="K14">
    <cfRule type="cellIs" dxfId="13" priority="18" operator="equal">
      <formula>$K$19</formula>
    </cfRule>
  </conditionalFormatting>
  <conditionalFormatting sqref="K15">
    <cfRule type="cellIs" dxfId="12" priority="17" operator="equal">
      <formula>$K$19</formula>
    </cfRule>
  </conditionalFormatting>
  <conditionalFormatting sqref="K26">
    <cfRule type="cellIs" dxfId="11" priority="16" operator="equal">
      <formula>$K$31</formula>
    </cfRule>
  </conditionalFormatting>
  <conditionalFormatting sqref="K27">
    <cfRule type="cellIs" dxfId="10" priority="15" operator="equal">
      <formula>$K$31</formula>
    </cfRule>
  </conditionalFormatting>
  <conditionalFormatting sqref="J14">
    <cfRule type="cellIs" dxfId="9" priority="14" operator="equal">
      <formula>$J$18</formula>
    </cfRule>
  </conditionalFormatting>
  <conditionalFormatting sqref="J15">
    <cfRule type="cellIs" dxfId="8" priority="13" operator="equal">
      <formula>$J$18</formula>
    </cfRule>
  </conditionalFormatting>
  <conditionalFormatting sqref="I14">
    <cfRule type="cellIs" dxfId="7" priority="12" operator="equal">
      <formula>$I$17</formula>
    </cfRule>
  </conditionalFormatting>
  <conditionalFormatting sqref="I15">
    <cfRule type="cellIs" dxfId="6" priority="11" operator="equal">
      <formula>$I$17</formula>
    </cfRule>
  </conditionalFormatting>
  <conditionalFormatting sqref="H14">
    <cfRule type="cellIs" dxfId="5" priority="10" operator="equal">
      <formula>$H$16</formula>
    </cfRule>
  </conditionalFormatting>
  <conditionalFormatting sqref="H15">
    <cfRule type="cellIs" dxfId="4" priority="9" operator="equal">
      <formula>$H$16</formula>
    </cfRule>
  </conditionalFormatting>
  <conditionalFormatting sqref="J26">
    <cfRule type="cellIs" dxfId="3" priority="4" operator="equal">
      <formula>$J$30</formula>
    </cfRule>
  </conditionalFormatting>
  <conditionalFormatting sqref="J27">
    <cfRule type="cellIs" dxfId="2" priority="3" operator="equal">
      <formula>$J$30</formula>
    </cfRule>
  </conditionalFormatting>
  <conditionalFormatting sqref="H25:H27">
    <cfRule type="cellIs" dxfId="1" priority="2" operator="equal">
      <formula>$H$28</formula>
    </cfRule>
  </conditionalFormatting>
  <conditionalFormatting sqref="I25:I27">
    <cfRule type="cellIs" dxfId="0" priority="1" operator="equal">
      <formula>$I$29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ECD26-756D-4DF3-A5DD-2A6891C805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5FC6F-3B03-413C-ACCE-B9D7A8CB81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228ABD-C34F-4F11-BAE3-77E0CF6AF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Fluxo de caixa</vt:lpstr>
      <vt:lpstr>Capital de giro</vt:lpstr>
      <vt:lpstr>VPL e TIR</vt:lpstr>
      <vt:lpstr>Impostos</vt:lpstr>
      <vt:lpstr>Alternativas - P desconhecidas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